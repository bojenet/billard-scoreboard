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8cf9843bb4222" /></Relationships>
</file>

<file path=xl/workbook.xml><?xml version="1.0" encoding="utf-8"?>
<x:workbook xmlns:ns1="http://schemas.openxmlformats.org/officeDocument/2006/relationships" xmlns:x="http://schemas.openxmlformats.org/spreadsheetml/2006/main">
  <x:sheets>
    <x:sheet name="Gruppe A" sheetId="1" ns1:id="R241edcd564094995"/>
    <x:sheet name="Gruppe B" sheetId="2" ns1:id="R35b359f5d19b40b7"/>
    <x:sheet name="Finalrunde" sheetId="3" ns1:id="Rd28df2019d394ba2"/>
    <x:sheet name="Teilnehmer" sheetId="4" ns1:id="R75e73f22ef6c4fa5"/>
    <x:sheet name="CSV Export" sheetId="5" ns1:id="Rbb1fc035748f4c2d"/>
  </x:sheets>
  <x:definedNames>
    <x:definedName name="_xlnm.Print_Area" localSheetId="0">'Gruppe A'!$A$1:$T$18</x:definedName>
    <x:definedName name="_xlnm.Print_Area" localSheetId="1">'Gruppe B'!$A$1:$T$21</x:definedName>
    <x:definedName name="_xlnm.Print_Area" localSheetId="2">'Finalrunde'!$A$1:$T$34</x:definedName>
    <x:definedName name="_xlnm.Print_Area" localSheetId="3">'Teilnehmer'!$A$1:$P$12</x:definedName>
    <x:definedName name="_xlnm.Print_Area" localSheetId="4">'CSV Export'!$A$1:$M$23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.000"/>
  </x:numFmts>
  <x:fonts count="4">
    <x:font>
      <x:sz val="11"/>
      <x:name val="Carlito"/>
    </x:font>
    <x:font>
      <x:sz val="10"/>
      <x:name val="Arial"/>
    </x:font>
    <x:font>
      <x:b/>
      <x:sz val="20"/>
      <x:name val="Times New Roman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2EFD9"/>
      </x:patternFill>
    </x:fill>
    <x:fill>
      <x:patternFill patternType="solid">
        <x:fgColor rgb="FFBFBFBF"/>
      </x:patternFill>
    </x:fill>
  </x:fills>
  <x:borders count="11">
    <x:border/>
    <x:border>
      <x:left style="medium">
        <x:color rgb="FF000000"/>
      </x:left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2" borderId="1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8f4aaca4f45df" /><Relationship Type="http://schemas.openxmlformats.org/officeDocument/2006/relationships/theme" Target="/xl/theme/theme1.xml" Id="Rcb87deb6eff74739" /><Relationship Type="http://schemas.openxmlformats.org/officeDocument/2006/relationships/sharedStrings" Target="/xl/sharedStrings.xml" Id="R651494e8701248fb" /><Relationship Type="http://schemas.openxmlformats.org/officeDocument/2006/relationships/worksheet" Target="/xl/worksheets/sheet1.xml" Id="R241edcd564094995" /><Relationship Type="http://schemas.openxmlformats.org/officeDocument/2006/relationships/worksheet" Target="/xl/worksheets/sheet2.xml" Id="R35b359f5d19b40b7" /><Relationship Type="http://schemas.openxmlformats.org/officeDocument/2006/relationships/worksheet" Target="/xl/worksheets/sheet3.xml" Id="Rd28df2019d394ba2" /><Relationship Type="http://schemas.openxmlformats.org/officeDocument/2006/relationships/worksheet" Target="/xl/worksheets/sheet4.xml" Id="R75e73f22ef6c4fa5" /><Relationship Type="http://schemas.openxmlformats.org/officeDocument/2006/relationships/worksheet" Target="/xl/worksheets/sheet5.xml" Id="Rbb1fc035748f4c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" hidden="0" customWidth="1"/>
    <x:col min="13" max="13" width="3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</x:cols>
  <x:sheetData>
    <x:row r="1" ht="36" customHeight="1">
      <x:c r="A1" s="7" t="str">
        <x:v>2=gewonnen  1=unentschieden</x:v>
      </x:c>
      <x:c r="B1" s="2"/>
      <x:c r="C1" s="2"/>
      <x:c r="D1" s="5" t="str">
        <x:v>T16a – Gruppe A</x:v>
      </x:c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2"/>
      <x:c r="R1" s="2" t="str">
        <x:v>Ausrichter:</x:v>
      </x:c>
      <x:c r="S1" s="2" t="str"/>
      <x:c r="T1" s="2"/>
    </x:row>
    <x:row r="2" ht="24" customHeight="1">
      <x:c r="A2" s="7" t="str">
        <x:v>0=verloren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 t="str">
        <x:v>Datum:</x:v>
      </x:c>
      <x:c r="S2" s="6"/>
      <x:c r="T2" s="2"/>
    </x:row>
    <x:row r="3" ht="48" customHeight="1">
      <x:c r="A3" s="35" t="str">
        <x:v>Name</x:v>
      </x:c>
      <x:c r="B3" s="36" t="str">
        <x:f>IF(Teilnehmer!B2="","",Teilnehmer!B2)</x:f>
      </x:c>
      <x:c r="C3" s="36"/>
      <x:c r="D3" s="36" t="str">
        <x:f>IF(Teilnehmer!B5="","",Teilnehmer!B5)</x:f>
      </x:c>
      <x:c r="E3" s="36"/>
      <x:c r="F3" s="36" t="str">
        <x:f>IF(Teilnehmer!B6="","",Teilnehmer!B6)</x:f>
      </x:c>
      <x:c r="G3" s="36"/>
      <x:c r="H3" s="36" t="str">
        <x:f>IF(Teilnehmer!B9="","",Teilnehmer!B9)</x:f>
      </x:c>
      <x:c r="I3" s="36"/>
      <x:c r="J3" s="35"/>
      <x:c r="K3" s="35"/>
      <x:c r="L3" s="8"/>
      <x:c r="M3" s="8"/>
      <x:c r="N3" s="35" t="str">
        <x:v>Partie-punkte</x:v>
      </x:c>
      <x:c r="O3" s="35" t="str">
        <x:v>Bälle</x:v>
      </x:c>
      <x:c r="P3" s="35" t="str">
        <x:v>Aufnahmen</x:v>
      </x:c>
      <x:c r="Q3" s="35" t="str">
        <x:v>BED</x:v>
      </x:c>
      <x:c r="R3" s="35" t="str">
        <x:v>DS</x:v>
      </x:c>
      <x:c r="S3" s="35" t="str">
        <x:v>HS</x:v>
      </x:c>
      <x:c r="T3" s="35" t="str">
        <x:v>Platz</x:v>
      </x:c>
    </x:row>
    <x:row r="4" ht="24" customHeight="1">
      <x:c r="A4" s="33" t="str">
        <x:f>IF(Teilnehmer!B2="","",Teilnehmer!B2)</x:f>
      </x:c>
      <x:c r="B4" s="16" t="str">
        <x:v>Bälle</x:v>
      </x:c>
      <x:c r="C4" s="17" t="str">
        <x:v>Aufn.</x:v>
      </x:c>
      <x:c r="D4" s="22"/>
      <x:c r="E4" s="23"/>
      <x:c r="F4" s="22"/>
      <x:c r="G4" s="23"/>
      <x:c r="H4" s="22"/>
      <x:c r="I4" s="23"/>
      <x:c r="J4" s="2"/>
      <x:c r="K4" s="2"/>
      <x:c r="L4" s="2"/>
      <x:c r="M4" s="2"/>
      <x:c r="N4" s="26" t="str">
        <x:f>IF(COUNT(D5,F5,H5)=0,"",SUM(D5,F5,H5))</x:f>
      </x:c>
      <x:c r="O4" s="26" t="str">
        <x:f>IF(COUNT(D4,F4,H4)=0,"",SUM(D4,F4,H4))</x:f>
      </x:c>
      <x:c r="P4" s="26" t="str">
        <x:f>IF(COUNT(E4,G4,I4)=0,"",SUM(E4,G4,I4))</x:f>
      </x:c>
      <x:c r="Q4" s="29" t="str">
        <x:f>IF(COUNT(D5,F5,H5)=0,"",MAX(IF(D5=2,D6,0),IF(F5=2,F6,0),IF(H5=2,H6,0)))</x:f>
      </x:c>
      <x:c r="R4" s="29" t="str">
        <x:f>IF(P4&gt;0,TRUNC(O4/P4,3),"")</x:f>
      </x:c>
      <x:c r="S4" s="26" t="str">
        <x:f>IF(COUNT(E6,G6,I6)=0,"",MAX(E6,G6,I6))</x:f>
      </x:c>
      <x:c r="T4" s="26" t="str">
        <x:f>IF(Teilnehmer!O2&lt;&gt;"",Teilnehmer!O2,IF(COUNT(D5,F5,H5,F8,H8,H11)&lt;6,"",1+IF(AND(ISNUMBER(N4),N4&gt;N4),1,0)+IF(AND(ISNUMBER(N4),N4=N4,ISNUMBER(R4),R4&gt;R4),1,0)+IF(AND(ISNUMBER(N7),N7&gt;N4),1,0)+IF(AND(ISNUMBER(N7),N7=N4,ISNUMBER(R7),R7&gt;R4),1,0)+IF(AND(ISNUMBER(N10),N10&gt;N4),1,0)+IF(AND(ISNUMBER(N10),N10=N4,ISNUMBER(R10),R10&gt;R4),1,0)+IF(AND(ISNUMBER(N13),N13&gt;N4),1,0)+IF(AND(ISNUMBER(N13),N13=N4,ISNUMBER(R13),R13&gt;R4),1,0)))</x:f>
      </x:c>
    </x:row>
    <x:row r="5" ht="24" customHeight="1">
      <x:c r="A5" s="33"/>
      <x:c r="B5" s="18" t="str">
        <x:v>Partiepunkte</x:v>
      </x:c>
      <x:c r="C5" s="19"/>
      <x:c r="D5" s="12" t="str">
        <x:f>IF(AND(ISNUMBER(D4),ISNUMBER(B7)),IF(IF(AND(Teilnehmer!F2&gt;0,Teilnehmer!F5&gt;0),D4/Teilnehmer!F2,D4)&gt;IF(AND(Teilnehmer!F2&gt;0,Teilnehmer!F5&gt;0),B7/Teilnehmer!F5,B7),2,IF(IF(AND(Teilnehmer!F2&gt;0,Teilnehmer!F5&gt;0),D4/Teilnehmer!F2,D4)=IF(AND(Teilnehmer!F2&gt;0,Teilnehmer!F5&gt;0),B7/Teilnehmer!F5,B7),1,0)),"")</x:f>
      </x:c>
      <x:c r="E5" s="13"/>
      <x:c r="F5" s="12" t="str">
        <x:f>IF(AND(ISNUMBER(F4),ISNUMBER(B10)),IF(IF(AND(Teilnehmer!F2&gt;0,Teilnehmer!F6&gt;0),F4/Teilnehmer!F2,F4)&gt;IF(AND(Teilnehmer!F2&gt;0,Teilnehmer!F6&gt;0),B10/Teilnehmer!F6,B10),2,IF(IF(AND(Teilnehmer!F2&gt;0,Teilnehmer!F6&gt;0),F4/Teilnehmer!F2,F4)=IF(AND(Teilnehmer!F2&gt;0,Teilnehmer!F6&gt;0),B10/Teilnehmer!F6,B10),1,0)),"")</x:f>
      </x:c>
      <x:c r="G5" s="13"/>
      <x:c r="H5" s="12" t="str">
        <x:f>IF(AND(ISNUMBER(H4),ISNUMBER(B13)),IF(IF(AND(Teilnehmer!F2&gt;0,Teilnehmer!F9&gt;0),H4/Teilnehmer!F2,H4)&gt;IF(AND(Teilnehmer!F2&gt;0,Teilnehmer!F9&gt;0),B13/Teilnehmer!F9,B13),2,IF(IF(AND(Teilnehmer!F2&gt;0,Teilnehmer!F9&gt;0),H4/Teilnehmer!F2,H4)=IF(AND(Teilnehmer!F2&gt;0,Teilnehmer!F9&gt;0),B13/Teilnehmer!F9,B13),1,0)),"")</x:f>
      </x:c>
      <x:c r="I5" s="13"/>
      <x:c r="J5" s="2"/>
      <x:c r="K5" s="2"/>
      <x:c r="L5" s="2"/>
      <x:c r="M5" s="2"/>
      <x:c r="N5" s="27"/>
      <x:c r="O5" s="27"/>
      <x:c r="P5" s="27"/>
      <x:c r="Q5" s="30"/>
      <x:c r="R5" s="30"/>
      <x:c r="S5" s="27"/>
      <x:c r="T5" s="27"/>
    </x:row>
    <x:row r="6" ht="24" customHeight="1">
      <x:c r="A6" s="33"/>
      <x:c r="B6" s="20" t="str">
        <x:v>DS</x:v>
      </x:c>
      <x:c r="C6" s="21" t="str">
        <x:v>HS</x:v>
      </x:c>
      <x:c r="D6" s="25" t="str">
        <x:f>IF(AND(ISNUMBER(D4),E4&gt;0),TRUNC(D4/E4,3),"")</x:f>
      </x:c>
      <x:c r="E6" s="24"/>
      <x:c r="F6" s="25" t="str">
        <x:f>IF(AND(ISNUMBER(F4),G4&gt;0),TRUNC(F4/G4,3),"")</x:f>
      </x:c>
      <x:c r="G6" s="24"/>
      <x:c r="H6" s="25" t="str">
        <x:f>IF(AND(ISNUMBER(H4),I4&gt;0),TRUNC(H4/I4,3),"")</x:f>
      </x:c>
      <x:c r="I6" s="24"/>
      <x:c r="J6" s="2"/>
      <x:c r="K6" s="2"/>
      <x:c r="L6" s="2"/>
      <x:c r="M6" s="2"/>
      <x:c r="N6" s="28"/>
      <x:c r="O6" s="28"/>
      <x:c r="P6" s="28"/>
      <x:c r="Q6" s="31"/>
      <x:c r="R6" s="31"/>
      <x:c r="S6" s="28"/>
      <x:c r="T6" s="28"/>
    </x:row>
    <x:row r="7" ht="24" customHeight="1">
      <x:c r="A7" s="33" t="str">
        <x:f>IF(Teilnehmer!B5="","",Teilnehmer!B5)</x:f>
      </x:c>
      <x:c r="B7" s="22"/>
      <x:c r="C7" s="23" t="str">
        <x:f>IF(ISNUMBER(E4),E4,"")</x:f>
      </x:c>
      <x:c r="D7" s="16" t="str">
        <x:v>Bälle</x:v>
      </x:c>
      <x:c r="E7" s="17" t="str">
        <x:v>Aufn.</x:v>
      </x:c>
      <x:c r="F7" s="22"/>
      <x:c r="G7" s="23"/>
      <x:c r="H7" s="22"/>
      <x:c r="I7" s="23"/>
      <x:c r="J7" s="2"/>
      <x:c r="K7" s="2"/>
      <x:c r="L7" s="2"/>
      <x:c r="M7" s="2"/>
      <x:c r="N7" s="26" t="str">
        <x:f>IF(COUNT(B8,F8,H8)=0,"",SUM(B8,F8,H8))</x:f>
      </x:c>
      <x:c r="O7" s="26" t="str">
        <x:f>IF(COUNT(B7,F7,H7)=0,"",SUM(B7,F7,H7))</x:f>
      </x:c>
      <x:c r="P7" s="26" t="str">
        <x:f>IF(COUNT(C7,G7,I7)=0,"",SUM(C7,G7,I7))</x:f>
      </x:c>
      <x:c r="Q7" s="29" t="str">
        <x:f>IF(COUNT(B8,F8,H8)=0,"",MAX(IF(B8=2,B9,0),IF(F8=2,F9,0),IF(H8=2,H9,0)))</x:f>
      </x:c>
      <x:c r="R7" s="29" t="str">
        <x:f>IF(P7&gt;0,TRUNC(O7/P7,3),"")</x:f>
      </x:c>
      <x:c r="S7" s="26" t="str">
        <x:f>IF(COUNT(C9,G9,I9)=0,"",MAX(C9,G9,I9))</x:f>
      </x:c>
      <x:c r="T7" s="26" t="str">
        <x:f>IF(Teilnehmer!O5&lt;&gt;"",Teilnehmer!O5,IF(COUNT(D5,F5,H5,F8,H8,H11)&lt;6,"",1+IF(AND(ISNUMBER(N4),N4&gt;N7),1,0)+IF(AND(ISNUMBER(N4),N4=N7,ISNUMBER(R4),R4&gt;R7),1,0)+IF(AND(ISNUMBER(N7),N7&gt;N7),1,0)+IF(AND(ISNUMBER(N7),N7=N7,ISNUMBER(R7),R7&gt;R7),1,0)+IF(AND(ISNUMBER(N10),N10&gt;N7),1,0)+IF(AND(ISNUMBER(N10),N10=N7,ISNUMBER(R10),R10&gt;R7),1,0)+IF(AND(ISNUMBER(N13),N13&gt;N7),1,0)+IF(AND(ISNUMBER(N13),N13=N7,ISNUMBER(R13),R13&gt;R7),1,0)))</x:f>
      </x:c>
    </x:row>
    <x:row r="8" ht="24" customHeight="1">
      <x:c r="A8" s="33"/>
      <x:c r="B8" s="12" t="str">
        <x:f>IF(AND(ISNUMBER(B7),ISNUMBER(D4)),IF(IF(AND(Teilnehmer!F5&gt;0,Teilnehmer!F2&gt;0),B7/Teilnehmer!F5,B7)&gt;IF(AND(Teilnehmer!F5&gt;0,Teilnehmer!F2&gt;0),D4/Teilnehmer!F2,D4),2,IF(IF(AND(Teilnehmer!F5&gt;0,Teilnehmer!F2&gt;0),B7/Teilnehmer!F5,B7)=IF(AND(Teilnehmer!F5&gt;0,Teilnehmer!F2&gt;0),D4/Teilnehmer!F2,D4),1,0)),"")</x:f>
      </x:c>
      <x:c r="C8" s="13"/>
      <x:c r="D8" s="18" t="str">
        <x:v>Partiepunkte</x:v>
      </x:c>
      <x:c r="E8" s="19"/>
      <x:c r="F8" s="12" t="str">
        <x:f>IF(AND(ISNUMBER(F7),ISNUMBER(D10)),IF(IF(AND(Teilnehmer!F5&gt;0,Teilnehmer!F6&gt;0),F7/Teilnehmer!F5,F7)&gt;IF(AND(Teilnehmer!F5&gt;0,Teilnehmer!F6&gt;0),D10/Teilnehmer!F6,D10),2,IF(IF(AND(Teilnehmer!F5&gt;0,Teilnehmer!F6&gt;0),F7/Teilnehmer!F5,F7)=IF(AND(Teilnehmer!F5&gt;0,Teilnehmer!F6&gt;0),D10/Teilnehmer!F6,D10),1,0)),"")</x:f>
      </x:c>
      <x:c r="G8" s="13"/>
      <x:c r="H8" s="12" t="str">
        <x:f>IF(AND(ISNUMBER(H7),ISNUMBER(D13)),IF(IF(AND(Teilnehmer!F5&gt;0,Teilnehmer!F9&gt;0),H7/Teilnehmer!F5,H7)&gt;IF(AND(Teilnehmer!F5&gt;0,Teilnehmer!F9&gt;0),D13/Teilnehmer!F9,D13),2,IF(IF(AND(Teilnehmer!F5&gt;0,Teilnehmer!F9&gt;0),H7/Teilnehmer!F5,H7)=IF(AND(Teilnehmer!F5&gt;0,Teilnehmer!F9&gt;0),D13/Teilnehmer!F9,D13),1,0)),"")</x:f>
      </x:c>
      <x:c r="I8" s="13"/>
      <x:c r="J8" s="2"/>
      <x:c r="K8" s="2"/>
      <x:c r="L8" s="2"/>
      <x:c r="M8" s="2"/>
      <x:c r="N8" s="27"/>
      <x:c r="O8" s="27"/>
      <x:c r="P8" s="27"/>
      <x:c r="Q8" s="30"/>
      <x:c r="R8" s="30"/>
      <x:c r="S8" s="27"/>
      <x:c r="T8" s="27"/>
    </x:row>
    <x:row r="9" ht="24" customHeight="1">
      <x:c r="A9" s="33"/>
      <x:c r="B9" s="25" t="str">
        <x:f>IF(AND(ISNUMBER(B7),C7&gt;0),TRUNC(B7/C7,3),"")</x:f>
      </x:c>
      <x:c r="C9" s="24"/>
      <x:c r="D9" s="20" t="str">
        <x:v>DS</x:v>
      </x:c>
      <x:c r="E9" s="21" t="str">
        <x:v>HS</x:v>
      </x:c>
      <x:c r="F9" s="25" t="str">
        <x:f>IF(AND(ISNUMBER(F7),G7&gt;0),TRUNC(F7/G7,3),"")</x:f>
      </x:c>
      <x:c r="G9" s="24"/>
      <x:c r="H9" s="25" t="str">
        <x:f>IF(AND(ISNUMBER(H7),I7&gt;0),TRUNC(H7/I7,3),"")</x:f>
      </x:c>
      <x:c r="I9" s="24"/>
      <x:c r="J9" s="2"/>
      <x:c r="K9" s="2"/>
      <x:c r="L9" s="2"/>
      <x:c r="M9" s="2"/>
      <x:c r="N9" s="28"/>
      <x:c r="O9" s="28"/>
      <x:c r="P9" s="28"/>
      <x:c r="Q9" s="31"/>
      <x:c r="R9" s="31"/>
      <x:c r="S9" s="28"/>
      <x:c r="T9" s="28"/>
    </x:row>
    <x:row r="10" ht="24" customHeight="1">
      <x:c r="A10" s="33" t="str">
        <x:f>IF(Teilnehmer!B6="","",Teilnehmer!B6)</x:f>
      </x:c>
      <x:c r="B10" s="22"/>
      <x:c r="C10" s="23" t="str">
        <x:f>IF(ISNUMBER(G4),G4,"")</x:f>
      </x:c>
      <x:c r="D10" s="22"/>
      <x:c r="E10" s="23" t="str">
        <x:f>IF(ISNUMBER(G7),G7,"")</x:f>
      </x:c>
      <x:c r="F10" s="16" t="str">
        <x:v>Bälle</x:v>
      </x:c>
      <x:c r="G10" s="17" t="str">
        <x:v>Aufn.</x:v>
      </x:c>
      <x:c r="H10" s="22"/>
      <x:c r="I10" s="23"/>
      <x:c r="J10" s="2"/>
      <x:c r="K10" s="2"/>
      <x:c r="L10" s="2"/>
      <x:c r="M10" s="2"/>
      <x:c r="N10" s="26" t="str">
        <x:f>IF(COUNT(B11,D11,H11)=0,"",SUM(B11,D11,H11))</x:f>
      </x:c>
      <x:c r="O10" s="26" t="str">
        <x:f>IF(COUNT(B10,D10,H10)=0,"",SUM(B10,D10,H10))</x:f>
      </x:c>
      <x:c r="P10" s="26" t="str">
        <x:f>IF(COUNT(C10,E10,I10)=0,"",SUM(C10,E10,I10))</x:f>
      </x:c>
      <x:c r="Q10" s="29" t="str">
        <x:f>IF(COUNT(B11,D11,H11)=0,"",MAX(IF(B11=2,B12,0),IF(D11=2,D12,0),IF(H11=2,H12,0)))</x:f>
      </x:c>
      <x:c r="R10" s="29" t="str">
        <x:f>IF(P10&gt;0,TRUNC(O10/P10,3),"")</x:f>
      </x:c>
      <x:c r="S10" s="26" t="str">
        <x:f>IF(COUNT(C12,E12,I12)=0,"",MAX(C12,E12,I12))</x:f>
      </x:c>
      <x:c r="T10" s="26" t="str">
        <x:f>IF(Teilnehmer!O6&lt;&gt;"",Teilnehmer!O6,IF(COUNT(D5,F5,H5,F8,H8,H11)&lt;6,"",1+IF(AND(ISNUMBER(N4),N4&gt;N10),1,0)+IF(AND(ISNUMBER(N4),N4=N10,ISNUMBER(R4),R4&gt;R10),1,0)+IF(AND(ISNUMBER(N7),N7&gt;N10),1,0)+IF(AND(ISNUMBER(N7),N7=N10,ISNUMBER(R7),R7&gt;R10),1,0)+IF(AND(ISNUMBER(N10),N10&gt;N10),1,0)+IF(AND(ISNUMBER(N10),N10=N10,ISNUMBER(R10),R10&gt;R10),1,0)+IF(AND(ISNUMBER(N13),N13&gt;N10),1,0)+IF(AND(ISNUMBER(N13),N13=N10,ISNUMBER(R13),R13&gt;R10),1,0)))</x:f>
      </x:c>
    </x:row>
    <x:row r="11" ht="24" customHeight="1">
      <x:c r="A11" s="33"/>
      <x:c r="B11" s="12" t="str">
        <x:f>IF(AND(ISNUMBER(B10),ISNUMBER(F4)),IF(IF(AND(Teilnehmer!F6&gt;0,Teilnehmer!F2&gt;0),B10/Teilnehmer!F6,B10)&gt;IF(AND(Teilnehmer!F6&gt;0,Teilnehmer!F2&gt;0),F4/Teilnehmer!F2,F4),2,IF(IF(AND(Teilnehmer!F6&gt;0,Teilnehmer!F2&gt;0),B10/Teilnehmer!F6,B10)=IF(AND(Teilnehmer!F6&gt;0,Teilnehmer!F2&gt;0),F4/Teilnehmer!F2,F4),1,0)),"")</x:f>
      </x:c>
      <x:c r="C11" s="13"/>
      <x:c r="D11" s="12" t="str">
        <x:f>IF(AND(ISNUMBER(D10),ISNUMBER(F7)),IF(IF(AND(Teilnehmer!F6&gt;0,Teilnehmer!F5&gt;0),D10/Teilnehmer!F6,D10)&gt;IF(AND(Teilnehmer!F6&gt;0,Teilnehmer!F5&gt;0),F7/Teilnehmer!F5,F7),2,IF(IF(AND(Teilnehmer!F6&gt;0,Teilnehmer!F5&gt;0),D10/Teilnehmer!F6,D10)=IF(AND(Teilnehmer!F6&gt;0,Teilnehmer!F5&gt;0),F7/Teilnehmer!F5,F7),1,0)),"")</x:f>
      </x:c>
      <x:c r="E11" s="13"/>
      <x:c r="F11" s="18" t="str">
        <x:v>Partiepunkte</x:v>
      </x:c>
      <x:c r="G11" s="19"/>
      <x:c r="H11" s="12" t="str">
        <x:f>IF(AND(ISNUMBER(H10),ISNUMBER(F13)),IF(IF(AND(Teilnehmer!F6&gt;0,Teilnehmer!F9&gt;0),H10/Teilnehmer!F6,H10)&gt;IF(AND(Teilnehmer!F6&gt;0,Teilnehmer!F9&gt;0),F13/Teilnehmer!F9,F13),2,IF(IF(AND(Teilnehmer!F6&gt;0,Teilnehmer!F9&gt;0),H10/Teilnehmer!F6,H10)=IF(AND(Teilnehmer!F6&gt;0,Teilnehmer!F9&gt;0),F13/Teilnehmer!F9,F13),1,0)),"")</x:f>
      </x:c>
      <x:c r="I11" s="13"/>
      <x:c r="J11" s="2"/>
      <x:c r="K11" s="2"/>
      <x:c r="L11" s="2"/>
      <x:c r="M11" s="2"/>
      <x:c r="N11" s="27"/>
      <x:c r="O11" s="27"/>
      <x:c r="P11" s="27"/>
      <x:c r="Q11" s="30"/>
      <x:c r="R11" s="30"/>
      <x:c r="S11" s="27"/>
      <x:c r="T11" s="27"/>
    </x:row>
    <x:row r="12" ht="24" customHeight="1">
      <x:c r="A12" s="33"/>
      <x:c r="B12" s="25" t="str">
        <x:f>IF(AND(ISNUMBER(B10),C10&gt;0),TRUNC(B10/C10,3),"")</x:f>
      </x:c>
      <x:c r="C12" s="24"/>
      <x:c r="D12" s="25" t="str">
        <x:f>IF(AND(ISNUMBER(D10),E10&gt;0),TRUNC(D10/E10,3),"")</x:f>
      </x:c>
      <x:c r="E12" s="24"/>
      <x:c r="F12" s="20" t="str">
        <x:v>DS</x:v>
      </x:c>
      <x:c r="G12" s="21" t="str">
        <x:v>HS</x:v>
      </x:c>
      <x:c r="H12" s="25" t="str">
        <x:f>IF(AND(ISNUMBER(H10),I10&gt;0),TRUNC(H10/I10,3),"")</x:f>
      </x:c>
      <x:c r="I12" s="24"/>
      <x:c r="J12" s="2"/>
      <x:c r="K12" s="2"/>
      <x:c r="L12" s="2"/>
      <x:c r="M12" s="2"/>
      <x:c r="N12" s="28"/>
      <x:c r="O12" s="28"/>
      <x:c r="P12" s="28"/>
      <x:c r="Q12" s="31"/>
      <x:c r="R12" s="31"/>
      <x:c r="S12" s="28"/>
      <x:c r="T12" s="28"/>
    </x:row>
    <x:row r="13" ht="24" customHeight="1">
      <x:c r="A13" s="33" t="str">
        <x:f>IF(Teilnehmer!B9="","",Teilnehmer!B9)</x:f>
      </x:c>
      <x:c r="B13" s="22"/>
      <x:c r="C13" s="23" t="str">
        <x:f>IF(ISNUMBER(I4),I4,"")</x:f>
      </x:c>
      <x:c r="D13" s="22"/>
      <x:c r="E13" s="23" t="str">
        <x:f>IF(ISNUMBER(I7),I7,"")</x:f>
      </x:c>
      <x:c r="F13" s="22"/>
      <x:c r="G13" s="23" t="str">
        <x:f>IF(ISNUMBER(I10),I10,"")</x:f>
      </x:c>
      <x:c r="H13" s="16" t="str">
        <x:v>Bälle</x:v>
      </x:c>
      <x:c r="I13" s="17" t="str">
        <x:v>Aufn.</x:v>
      </x:c>
      <x:c r="J13" s="2"/>
      <x:c r="K13" s="2"/>
      <x:c r="L13" s="2"/>
      <x:c r="M13" s="2"/>
      <x:c r="N13" s="26" t="str">
        <x:f>IF(COUNT(B14,D14,F14)=0,"",SUM(B14,D14,F14))</x:f>
      </x:c>
      <x:c r="O13" s="26" t="str">
        <x:f>IF(COUNT(B13,D13,F13)=0,"",SUM(B13,D13,F13))</x:f>
      </x:c>
      <x:c r="P13" s="26" t="str">
        <x:f>IF(COUNT(C13,E13,G13)=0,"",SUM(C13,E13,G13))</x:f>
      </x:c>
      <x:c r="Q13" s="29" t="str">
        <x:f>IF(COUNT(B14,D14,F14)=0,"",MAX(IF(B14=2,B15,0),IF(D14=2,D15,0),IF(F14=2,F15,0)))</x:f>
      </x:c>
      <x:c r="R13" s="29" t="str">
        <x:f>IF(P13&gt;0,TRUNC(O13/P13,3),"")</x:f>
      </x:c>
      <x:c r="S13" s="26" t="str">
        <x:f>IF(COUNT(C15,E15,G15)=0,"",MAX(C15,E15,G15))</x:f>
      </x:c>
      <x:c r="T13" s="26" t="str">
        <x:f>IF(Teilnehmer!O9&lt;&gt;"",Teilnehmer!O9,IF(COUNT(D5,F5,H5,F8,H8,H11)&lt;6,"",1+IF(AND(ISNUMBER(N4),N4&gt;N13),1,0)+IF(AND(ISNUMBER(N4),N4=N13,ISNUMBER(R4),R4&gt;R13),1,0)+IF(AND(ISNUMBER(N7),N7&gt;N13),1,0)+IF(AND(ISNUMBER(N7),N7=N13,ISNUMBER(R7),R7&gt;R13),1,0)+IF(AND(ISNUMBER(N10),N10&gt;N13),1,0)+IF(AND(ISNUMBER(N10),N10=N13,ISNUMBER(R10),R10&gt;R13),1,0)+IF(AND(ISNUMBER(N13),N13&gt;N13),1,0)+IF(AND(ISNUMBER(N13),N13=N13,ISNUMBER(R13),R13&gt;R13),1,0)))</x:f>
      </x:c>
    </x:row>
    <x:row r="14" ht="24" customHeight="1">
      <x:c r="A14" s="33"/>
      <x:c r="B14" s="12" t="str">
        <x:f>IF(AND(ISNUMBER(B13),ISNUMBER(H4)),IF(IF(AND(Teilnehmer!F9&gt;0,Teilnehmer!F2&gt;0),B13/Teilnehmer!F9,B13)&gt;IF(AND(Teilnehmer!F9&gt;0,Teilnehmer!F2&gt;0),H4/Teilnehmer!F2,H4),2,IF(IF(AND(Teilnehmer!F9&gt;0,Teilnehmer!F2&gt;0),B13/Teilnehmer!F9,B13)=IF(AND(Teilnehmer!F9&gt;0,Teilnehmer!F2&gt;0),H4/Teilnehmer!F2,H4),1,0)),"")</x:f>
      </x:c>
      <x:c r="C14" s="13"/>
      <x:c r="D14" s="12" t="str">
        <x:f>IF(AND(ISNUMBER(D13),ISNUMBER(H7)),IF(IF(AND(Teilnehmer!F9&gt;0,Teilnehmer!F5&gt;0),D13/Teilnehmer!F9,D13)&gt;IF(AND(Teilnehmer!F9&gt;0,Teilnehmer!F5&gt;0),H7/Teilnehmer!F5,H7),2,IF(IF(AND(Teilnehmer!F9&gt;0,Teilnehmer!F5&gt;0),D13/Teilnehmer!F9,D13)=IF(AND(Teilnehmer!F9&gt;0,Teilnehmer!F5&gt;0),H7/Teilnehmer!F5,H7),1,0)),"")</x:f>
      </x:c>
      <x:c r="E14" s="13"/>
      <x:c r="F14" s="12" t="str">
        <x:f>IF(AND(ISNUMBER(F13),ISNUMBER(H10)),IF(IF(AND(Teilnehmer!F9&gt;0,Teilnehmer!F6&gt;0),F13/Teilnehmer!F9,F13)&gt;IF(AND(Teilnehmer!F9&gt;0,Teilnehmer!F6&gt;0),H10/Teilnehmer!F6,H10),2,IF(IF(AND(Teilnehmer!F9&gt;0,Teilnehmer!F6&gt;0),F13/Teilnehmer!F9,F13)=IF(AND(Teilnehmer!F9&gt;0,Teilnehmer!F6&gt;0),H10/Teilnehmer!F6,H10),1,0)),"")</x:f>
      </x:c>
      <x:c r="G14" s="13"/>
      <x:c r="H14" s="18" t="str">
        <x:v>Partiepunkte</x:v>
      </x:c>
      <x:c r="I14" s="19"/>
      <x:c r="J14" s="2"/>
      <x:c r="K14" s="2"/>
      <x:c r="L14" s="2"/>
      <x:c r="M14" s="2"/>
      <x:c r="N14" s="27"/>
      <x:c r="O14" s="27"/>
      <x:c r="P14" s="27"/>
      <x:c r="Q14" s="30"/>
      <x:c r="R14" s="30"/>
      <x:c r="S14" s="27"/>
      <x:c r="T14" s="27"/>
    </x:row>
    <x:row r="15" ht="24" customHeight="1">
      <x:c r="A15" s="34"/>
      <x:c r="B15" s="25" t="str">
        <x:f>IF(AND(ISNUMBER(B13),C13&gt;0),TRUNC(B13/C13,3),"")</x:f>
      </x:c>
      <x:c r="C15" s="24"/>
      <x:c r="D15" s="25" t="str">
        <x:f>IF(AND(ISNUMBER(D13),E13&gt;0),TRUNC(D13/E13,3),"")</x:f>
      </x:c>
      <x:c r="E15" s="24"/>
      <x:c r="F15" s="25" t="str">
        <x:f>IF(AND(ISNUMBER(F13),G13&gt;0),TRUNC(F13/G13,3),"")</x:f>
      </x:c>
      <x:c r="G15" s="24"/>
      <x:c r="H15" s="20" t="str">
        <x:v>DS</x:v>
      </x:c>
      <x:c r="I15" s="21" t="str">
        <x:v>HS</x:v>
      </x:c>
      <x:c r="J15" s="2"/>
      <x:c r="K15" s="2"/>
      <x:c r="L15" s="2"/>
      <x:c r="M15" s="2"/>
      <x:c r="N15" s="28"/>
      <x:c r="O15" s="28"/>
      <x:c r="P15" s="28"/>
      <x:c r="Q15" s="31"/>
      <x:c r="R15" s="31"/>
      <x:c r="S15" s="28"/>
      <x:c r="T15" s="28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30" customHeight="1">
      <x:c r="A17" s="2" t="str">
        <x:v>Grün: Bälle, Aufnahmen, HS. Bei Vorgabe zählt der erreichte Anteil. Rangkorrektur bei Gleichstand: Teilnehmer, Spalte O.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</x:sheetData>
  <x:mergeCells>
    <x:mergeCell ref="D1:P1"/>
    <x:mergeCell ref="S1:T1"/>
    <x:mergeCell ref="S2:T2"/>
    <x:mergeCell ref="B3:C3"/>
    <x:mergeCell ref="A4:A6"/>
    <x:mergeCell ref="B5:C5"/>
    <x:mergeCell ref="D5:E5"/>
    <x:mergeCell ref="F5:G5"/>
    <x:mergeCell ref="H5:I5"/>
    <x:mergeCell ref="N4:N6"/>
    <x:mergeCell ref="O4:O6"/>
    <x:mergeCell ref="P4:P6"/>
    <x:mergeCell ref="Q4:Q6"/>
    <x:mergeCell ref="R4:R6"/>
    <x:mergeCell ref="S4:S6"/>
    <x:mergeCell ref="T4:T6"/>
    <x:mergeCell ref="D3:E3"/>
    <x:mergeCell ref="A7:A9"/>
    <x:mergeCell ref="B8:C8"/>
    <x:mergeCell ref="D8:E8"/>
    <x:mergeCell ref="F8:G8"/>
    <x:mergeCell ref="H8:I8"/>
    <x:mergeCell ref="N7:N9"/>
    <x:mergeCell ref="O7:O9"/>
    <x:mergeCell ref="P7:P9"/>
    <x:mergeCell ref="Q7:Q9"/>
    <x:mergeCell ref="R7:R9"/>
    <x:mergeCell ref="S7:S9"/>
    <x:mergeCell ref="T7:T9"/>
    <x:mergeCell ref="F3:G3"/>
    <x:mergeCell ref="A10:A12"/>
    <x:mergeCell ref="B11:C11"/>
    <x:mergeCell ref="D11:E11"/>
    <x:mergeCell ref="F11:G11"/>
    <x:mergeCell ref="H11:I11"/>
    <x:mergeCell ref="N10:N12"/>
    <x:mergeCell ref="O10:O12"/>
    <x:mergeCell ref="P10:P12"/>
    <x:mergeCell ref="Q10:Q12"/>
    <x:mergeCell ref="R10:R12"/>
    <x:mergeCell ref="S10:S12"/>
    <x:mergeCell ref="T10:T12"/>
    <x:mergeCell ref="H3:I3"/>
    <x:mergeCell ref="A13:A15"/>
    <x:mergeCell ref="B14:C14"/>
    <x:mergeCell ref="D14:E14"/>
    <x:mergeCell ref="F14:G14"/>
    <x:mergeCell ref="H14:I14"/>
    <x:mergeCell ref="N13:N15"/>
    <x:mergeCell ref="O13:O15"/>
    <x:mergeCell ref="P13:P15"/>
    <x:mergeCell ref="Q13:Q15"/>
    <x:mergeCell ref="R13:R15"/>
    <x:mergeCell ref="S13:S15"/>
    <x:mergeCell ref="T13:T15"/>
    <x:mergeCell ref="A17:T17"/>
  </x:mergeCells>
  <x:pageMargins left="0.2" right="0.2" top="0.3" bottom="0.3" header="0.1" footer="0.1"/>
  <x:pageSetup paperSize="9" orientation="landscape" fitToWidth="1" fitToHeight="1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" hidden="0" customWidth="1"/>
    <x:col min="13" max="13" width="3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</x:cols>
  <x:sheetData>
    <x:row r="1" ht="36" customHeight="1">
      <x:c r="A1" s="7" t="str">
        <x:v>2=gewonnen  1=unentschieden</x:v>
      </x:c>
      <x:c r="B1" s="2"/>
      <x:c r="C1" s="2"/>
      <x:c r="D1" s="5" t="str">
        <x:v>T16a – Gruppe B</x:v>
      </x:c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2"/>
      <x:c r="R1" s="2" t="str">
        <x:v>Ausrichter:</x:v>
      </x:c>
      <x:c r="S1" s="2" t="str"/>
      <x:c r="T1" s="2"/>
    </x:row>
    <x:row r="2" ht="24" customHeight="1">
      <x:c r="A2" s="7" t="str">
        <x:v>0=verloren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 t="str">
        <x:v>Datum:</x:v>
      </x:c>
      <x:c r="S2" s="6"/>
      <x:c r="T2" s="2"/>
    </x:row>
    <x:row r="3" ht="48" customHeight="1">
      <x:c r="A3" s="35" t="str">
        <x:v>Name</x:v>
      </x:c>
      <x:c r="B3" s="36" t="str">
        <x:f>IF(Teilnehmer!B3="","",Teilnehmer!B3)</x:f>
      </x:c>
      <x:c r="C3" s="36"/>
      <x:c r="D3" s="36" t="str">
        <x:f>IF(Teilnehmer!B4="","",Teilnehmer!B4)</x:f>
      </x:c>
      <x:c r="E3" s="36"/>
      <x:c r="F3" s="36" t="str">
        <x:f>IF(Teilnehmer!B7="","",Teilnehmer!B7)</x:f>
      </x:c>
      <x:c r="G3" s="36"/>
      <x:c r="H3" s="36" t="str">
        <x:f>IF(Teilnehmer!B8="","",Teilnehmer!B8)</x:f>
      </x:c>
      <x:c r="I3" s="36"/>
      <x:c r="J3" s="36" t="str">
        <x:f>IF(Teilnehmer!B10="","",Teilnehmer!B10)</x:f>
      </x:c>
      <x:c r="K3" s="36"/>
      <x:c r="L3" s="8"/>
      <x:c r="M3" s="8"/>
      <x:c r="N3" s="35" t="str">
        <x:v>Partie-punkte</x:v>
      </x:c>
      <x:c r="O3" s="35" t="str">
        <x:v>Bälle</x:v>
      </x:c>
      <x:c r="P3" s="35" t="str">
        <x:v>Aufnahmen</x:v>
      </x:c>
      <x:c r="Q3" s="35" t="str">
        <x:v>BED</x:v>
      </x:c>
      <x:c r="R3" s="35" t="str">
        <x:v>DS</x:v>
      </x:c>
      <x:c r="S3" s="35" t="str">
        <x:v>HS</x:v>
      </x:c>
      <x:c r="T3" s="35" t="str">
        <x:v>Platz</x:v>
      </x:c>
    </x:row>
    <x:row r="4" ht="24" customHeight="1">
      <x:c r="A4" s="33" t="str">
        <x:f>IF(Teilnehmer!B3="","",Teilnehmer!B3)</x:f>
      </x:c>
      <x:c r="B4" s="16" t="str">
        <x:v>Bälle</x:v>
      </x:c>
      <x:c r="C4" s="17" t="str">
        <x:v>Aufn.</x:v>
      </x:c>
      <x:c r="D4" s="22"/>
      <x:c r="E4" s="23"/>
      <x:c r="F4" s="22"/>
      <x:c r="G4" s="23"/>
      <x:c r="H4" s="22"/>
      <x:c r="I4" s="23"/>
      <x:c r="J4" s="22"/>
      <x:c r="K4" s="23"/>
      <x:c r="L4" s="2"/>
      <x:c r="M4" s="2"/>
      <x:c r="N4" s="26" t="str">
        <x:f>IF(COUNT(D5,F5,H5,J5)=0,"",SUM(D5,F5,H5,J5))</x:f>
      </x:c>
      <x:c r="O4" s="26" t="str">
        <x:f>IF(COUNT(D4,F4,H4,J4)=0,"",SUM(D4,F4,H4,J4))</x:f>
      </x:c>
      <x:c r="P4" s="26" t="str">
        <x:f>IF(COUNT(E4,G4,I4,K4)=0,"",SUM(E4,G4,I4,K4))</x:f>
      </x:c>
      <x:c r="Q4" s="29" t="str">
        <x:f>IF(COUNT(D5,F5,H5,J5)=0,"",MAX(IF(D5=2,D6,0),IF(F5=2,F6,0),IF(H5=2,H6,0),IF(J5=2,J6,0)))</x:f>
      </x:c>
      <x:c r="R4" s="29" t="str">
        <x:f>IF(P4&gt;0,TRUNC(O4/P4,3),"")</x:f>
      </x:c>
      <x:c r="S4" s="26" t="str">
        <x:f>IF(COUNT(E6,G6,I6,K6)=0,"",MAX(E6,G6,I6,K6))</x:f>
      </x:c>
      <x:c r="T4" s="26" t="str">
        <x:f>IF(Teilnehmer!O3&lt;&gt;"",Teilnehmer!O3,IF(COUNT(D5,F5,H5,J5,F8,H8,J8,H11,J11,J14)&lt;10,"",1+IF(AND(ISNUMBER(N4),N4&gt;N4),1,0)+IF(AND(ISNUMBER(N4),N4=N4,ISNUMBER(R4),R4&gt;R4),1,0)+IF(AND(ISNUMBER(N7),N7&gt;N4),1,0)+IF(AND(ISNUMBER(N7),N7=N4,ISNUMBER(R7),R7&gt;R4),1,0)+IF(AND(ISNUMBER(N10),N10&gt;N4),1,0)+IF(AND(ISNUMBER(N10),N10=N4,ISNUMBER(R10),R10&gt;R4),1,0)+IF(AND(ISNUMBER(N13),N13&gt;N4),1,0)+IF(AND(ISNUMBER(N13),N13=N4,ISNUMBER(R13),R13&gt;R4),1,0)+IF(AND(ISNUMBER(N16),N16&gt;N4),1,0)+IF(AND(ISNUMBER(N16),N16=N4,ISNUMBER(R16),R16&gt;R4),1,0)))</x:f>
      </x:c>
    </x:row>
    <x:row r="5" ht="24" customHeight="1">
      <x:c r="A5" s="33"/>
      <x:c r="B5" s="18" t="str">
        <x:v>Partiepunkte</x:v>
      </x:c>
      <x:c r="C5" s="19"/>
      <x:c r="D5" s="12" t="str">
        <x:f>IF(AND(ISNUMBER(D4),ISNUMBER(B7)),IF(IF(AND(Teilnehmer!F3&gt;0,Teilnehmer!F4&gt;0),D4/Teilnehmer!F3,D4)&gt;IF(AND(Teilnehmer!F3&gt;0,Teilnehmer!F4&gt;0),B7/Teilnehmer!F4,B7),2,IF(IF(AND(Teilnehmer!F3&gt;0,Teilnehmer!F4&gt;0),D4/Teilnehmer!F3,D4)=IF(AND(Teilnehmer!F3&gt;0,Teilnehmer!F4&gt;0),B7/Teilnehmer!F4,B7),1,0)),"")</x:f>
      </x:c>
      <x:c r="E5" s="13"/>
      <x:c r="F5" s="12" t="str">
        <x:f>IF(AND(ISNUMBER(F4),ISNUMBER(B10)),IF(IF(AND(Teilnehmer!F3&gt;0,Teilnehmer!F7&gt;0),F4/Teilnehmer!F3,F4)&gt;IF(AND(Teilnehmer!F3&gt;0,Teilnehmer!F7&gt;0),B10/Teilnehmer!F7,B10),2,IF(IF(AND(Teilnehmer!F3&gt;0,Teilnehmer!F7&gt;0),F4/Teilnehmer!F3,F4)=IF(AND(Teilnehmer!F3&gt;0,Teilnehmer!F7&gt;0),B10/Teilnehmer!F7,B10),1,0)),"")</x:f>
      </x:c>
      <x:c r="G5" s="13"/>
      <x:c r="H5" s="12" t="str">
        <x:f>IF(AND(ISNUMBER(H4),ISNUMBER(B13)),IF(IF(AND(Teilnehmer!F3&gt;0,Teilnehmer!F8&gt;0),H4/Teilnehmer!F3,H4)&gt;IF(AND(Teilnehmer!F3&gt;0,Teilnehmer!F8&gt;0),B13/Teilnehmer!F8,B13),2,IF(IF(AND(Teilnehmer!F3&gt;0,Teilnehmer!F8&gt;0),H4/Teilnehmer!F3,H4)=IF(AND(Teilnehmer!F3&gt;0,Teilnehmer!F8&gt;0),B13/Teilnehmer!F8,B13),1,0)),"")</x:f>
      </x:c>
      <x:c r="I5" s="13"/>
      <x:c r="J5" s="12" t="str">
        <x:f>IF(AND(ISNUMBER(J4),ISNUMBER(B16)),IF(IF(AND(Teilnehmer!F3&gt;0,Teilnehmer!F10&gt;0),J4/Teilnehmer!F3,J4)&gt;IF(AND(Teilnehmer!F3&gt;0,Teilnehmer!F10&gt;0),B16/Teilnehmer!F10,B16),2,IF(IF(AND(Teilnehmer!F3&gt;0,Teilnehmer!F10&gt;0),J4/Teilnehmer!F3,J4)=IF(AND(Teilnehmer!F3&gt;0,Teilnehmer!F10&gt;0),B16/Teilnehmer!F10,B16),1,0)),"")</x:f>
      </x:c>
      <x:c r="K5" s="13"/>
      <x:c r="L5" s="2"/>
      <x:c r="M5" s="2"/>
      <x:c r="N5" s="27"/>
      <x:c r="O5" s="27"/>
      <x:c r="P5" s="27"/>
      <x:c r="Q5" s="30"/>
      <x:c r="R5" s="30"/>
      <x:c r="S5" s="27"/>
      <x:c r="T5" s="27"/>
    </x:row>
    <x:row r="6" ht="24" customHeight="1">
      <x:c r="A6" s="33"/>
      <x:c r="B6" s="20" t="str">
        <x:v>DS</x:v>
      </x:c>
      <x:c r="C6" s="21" t="str">
        <x:v>HS</x:v>
      </x:c>
      <x:c r="D6" s="25" t="str">
        <x:f>IF(AND(ISNUMBER(D4),E4&gt;0),TRUNC(D4/E4,3),"")</x:f>
      </x:c>
      <x:c r="E6" s="24"/>
      <x:c r="F6" s="25" t="str">
        <x:f>IF(AND(ISNUMBER(F4),G4&gt;0),TRUNC(F4/G4,3),"")</x:f>
      </x:c>
      <x:c r="G6" s="24"/>
      <x:c r="H6" s="25" t="str">
        <x:f>IF(AND(ISNUMBER(H4),I4&gt;0),TRUNC(H4/I4,3),"")</x:f>
      </x:c>
      <x:c r="I6" s="24"/>
      <x:c r="J6" s="25" t="str">
        <x:f>IF(AND(ISNUMBER(J4),K4&gt;0),TRUNC(J4/K4,3),"")</x:f>
      </x:c>
      <x:c r="K6" s="24"/>
      <x:c r="L6" s="2"/>
      <x:c r="M6" s="2"/>
      <x:c r="N6" s="28"/>
      <x:c r="O6" s="28"/>
      <x:c r="P6" s="28"/>
      <x:c r="Q6" s="31"/>
      <x:c r="R6" s="31"/>
      <x:c r="S6" s="28"/>
      <x:c r="T6" s="28"/>
    </x:row>
    <x:row r="7" ht="24" customHeight="1">
      <x:c r="A7" s="33" t="str">
        <x:f>IF(Teilnehmer!B4="","",Teilnehmer!B4)</x:f>
      </x:c>
      <x:c r="B7" s="22"/>
      <x:c r="C7" s="23" t="str">
        <x:f>IF(ISNUMBER(E4),E4,"")</x:f>
      </x:c>
      <x:c r="D7" s="16" t="str">
        <x:v>Bälle</x:v>
      </x:c>
      <x:c r="E7" s="17" t="str">
        <x:v>Aufn.</x:v>
      </x:c>
      <x:c r="F7" s="22"/>
      <x:c r="G7" s="23"/>
      <x:c r="H7" s="22"/>
      <x:c r="I7" s="23"/>
      <x:c r="J7" s="22"/>
      <x:c r="K7" s="23"/>
      <x:c r="L7" s="2"/>
      <x:c r="M7" s="2"/>
      <x:c r="N7" s="26" t="str">
        <x:f>IF(COUNT(B8,F8,H8,J8)=0,"",SUM(B8,F8,H8,J8))</x:f>
      </x:c>
      <x:c r="O7" s="26" t="str">
        <x:f>IF(COUNT(B7,F7,H7,J7)=0,"",SUM(B7,F7,H7,J7))</x:f>
      </x:c>
      <x:c r="P7" s="26" t="str">
        <x:f>IF(COUNT(C7,G7,I7,K7)=0,"",SUM(C7,G7,I7,K7))</x:f>
      </x:c>
      <x:c r="Q7" s="29" t="str">
        <x:f>IF(COUNT(B8,F8,H8,J8)=0,"",MAX(IF(B8=2,B9,0),IF(F8=2,F9,0),IF(H8=2,H9,0),IF(J8=2,J9,0)))</x:f>
      </x:c>
      <x:c r="R7" s="29" t="str">
        <x:f>IF(P7&gt;0,TRUNC(O7/P7,3),"")</x:f>
      </x:c>
      <x:c r="S7" s="26" t="str">
        <x:f>IF(COUNT(C9,G9,I9,K9)=0,"",MAX(C9,G9,I9,K9))</x:f>
      </x:c>
      <x:c r="T7" s="26" t="str">
        <x:f>IF(Teilnehmer!O4&lt;&gt;"",Teilnehmer!O4,IF(COUNT(D5,F5,H5,J5,F8,H8,J8,H11,J11,J14)&lt;10,"",1+IF(AND(ISNUMBER(N4),N4&gt;N7),1,0)+IF(AND(ISNUMBER(N4),N4=N7,ISNUMBER(R4),R4&gt;R7),1,0)+IF(AND(ISNUMBER(N7),N7&gt;N7),1,0)+IF(AND(ISNUMBER(N7),N7=N7,ISNUMBER(R7),R7&gt;R7),1,0)+IF(AND(ISNUMBER(N10),N10&gt;N7),1,0)+IF(AND(ISNUMBER(N10),N10=N7,ISNUMBER(R10),R10&gt;R7),1,0)+IF(AND(ISNUMBER(N13),N13&gt;N7),1,0)+IF(AND(ISNUMBER(N13),N13=N7,ISNUMBER(R13),R13&gt;R7),1,0)+IF(AND(ISNUMBER(N16),N16&gt;N7),1,0)+IF(AND(ISNUMBER(N16),N16=N7,ISNUMBER(R16),R16&gt;R7),1,0)))</x:f>
      </x:c>
    </x:row>
    <x:row r="8" ht="24" customHeight="1">
      <x:c r="A8" s="33"/>
      <x:c r="B8" s="12" t="str">
        <x:f>IF(AND(ISNUMBER(B7),ISNUMBER(D4)),IF(IF(AND(Teilnehmer!F4&gt;0,Teilnehmer!F3&gt;0),B7/Teilnehmer!F4,B7)&gt;IF(AND(Teilnehmer!F4&gt;0,Teilnehmer!F3&gt;0),D4/Teilnehmer!F3,D4),2,IF(IF(AND(Teilnehmer!F4&gt;0,Teilnehmer!F3&gt;0),B7/Teilnehmer!F4,B7)=IF(AND(Teilnehmer!F4&gt;0,Teilnehmer!F3&gt;0),D4/Teilnehmer!F3,D4),1,0)),"")</x:f>
      </x:c>
      <x:c r="C8" s="13"/>
      <x:c r="D8" s="18" t="str">
        <x:v>Partiepunkte</x:v>
      </x:c>
      <x:c r="E8" s="19"/>
      <x:c r="F8" s="12" t="str">
        <x:f>IF(AND(ISNUMBER(F7),ISNUMBER(D10)),IF(IF(AND(Teilnehmer!F4&gt;0,Teilnehmer!F7&gt;0),F7/Teilnehmer!F4,F7)&gt;IF(AND(Teilnehmer!F4&gt;0,Teilnehmer!F7&gt;0),D10/Teilnehmer!F7,D10),2,IF(IF(AND(Teilnehmer!F4&gt;0,Teilnehmer!F7&gt;0),F7/Teilnehmer!F4,F7)=IF(AND(Teilnehmer!F4&gt;0,Teilnehmer!F7&gt;0),D10/Teilnehmer!F7,D10),1,0)),"")</x:f>
      </x:c>
      <x:c r="G8" s="13"/>
      <x:c r="H8" s="12" t="str">
        <x:f>IF(AND(ISNUMBER(H7),ISNUMBER(D13)),IF(IF(AND(Teilnehmer!F4&gt;0,Teilnehmer!F8&gt;0),H7/Teilnehmer!F4,H7)&gt;IF(AND(Teilnehmer!F4&gt;0,Teilnehmer!F8&gt;0),D13/Teilnehmer!F8,D13),2,IF(IF(AND(Teilnehmer!F4&gt;0,Teilnehmer!F8&gt;0),H7/Teilnehmer!F4,H7)=IF(AND(Teilnehmer!F4&gt;0,Teilnehmer!F8&gt;0),D13/Teilnehmer!F8,D13),1,0)),"")</x:f>
      </x:c>
      <x:c r="I8" s="13"/>
      <x:c r="J8" s="12" t="str">
        <x:f>IF(AND(ISNUMBER(J7),ISNUMBER(D16)),IF(IF(AND(Teilnehmer!F4&gt;0,Teilnehmer!F10&gt;0),J7/Teilnehmer!F4,J7)&gt;IF(AND(Teilnehmer!F4&gt;0,Teilnehmer!F10&gt;0),D16/Teilnehmer!F10,D16),2,IF(IF(AND(Teilnehmer!F4&gt;0,Teilnehmer!F10&gt;0),J7/Teilnehmer!F4,J7)=IF(AND(Teilnehmer!F4&gt;0,Teilnehmer!F10&gt;0),D16/Teilnehmer!F10,D16),1,0)),"")</x:f>
      </x:c>
      <x:c r="K8" s="13"/>
      <x:c r="L8" s="2"/>
      <x:c r="M8" s="2"/>
      <x:c r="N8" s="27"/>
      <x:c r="O8" s="27"/>
      <x:c r="P8" s="27"/>
      <x:c r="Q8" s="30"/>
      <x:c r="R8" s="30"/>
      <x:c r="S8" s="27"/>
      <x:c r="T8" s="27"/>
    </x:row>
    <x:row r="9" ht="24" customHeight="1">
      <x:c r="A9" s="33"/>
      <x:c r="B9" s="25" t="str">
        <x:f>IF(AND(ISNUMBER(B7),C7&gt;0),TRUNC(B7/C7,3),"")</x:f>
      </x:c>
      <x:c r="C9" s="24"/>
      <x:c r="D9" s="20" t="str">
        <x:v>DS</x:v>
      </x:c>
      <x:c r="E9" s="21" t="str">
        <x:v>HS</x:v>
      </x:c>
      <x:c r="F9" s="25" t="str">
        <x:f>IF(AND(ISNUMBER(F7),G7&gt;0),TRUNC(F7/G7,3),"")</x:f>
      </x:c>
      <x:c r="G9" s="24"/>
      <x:c r="H9" s="25" t="str">
        <x:f>IF(AND(ISNUMBER(H7),I7&gt;0),TRUNC(H7/I7,3),"")</x:f>
      </x:c>
      <x:c r="I9" s="24"/>
      <x:c r="J9" s="25" t="str">
        <x:f>IF(AND(ISNUMBER(J7),K7&gt;0),TRUNC(J7/K7,3),"")</x:f>
      </x:c>
      <x:c r="K9" s="24"/>
      <x:c r="L9" s="2"/>
      <x:c r="M9" s="2"/>
      <x:c r="N9" s="28"/>
      <x:c r="O9" s="28"/>
      <x:c r="P9" s="28"/>
      <x:c r="Q9" s="31"/>
      <x:c r="R9" s="31"/>
      <x:c r="S9" s="28"/>
      <x:c r="T9" s="28"/>
    </x:row>
    <x:row r="10" ht="24" customHeight="1">
      <x:c r="A10" s="33" t="str">
        <x:f>IF(Teilnehmer!B7="","",Teilnehmer!B7)</x:f>
      </x:c>
      <x:c r="B10" s="22"/>
      <x:c r="C10" s="23" t="str">
        <x:f>IF(ISNUMBER(G4),G4,"")</x:f>
      </x:c>
      <x:c r="D10" s="22"/>
      <x:c r="E10" s="23" t="str">
        <x:f>IF(ISNUMBER(G7),G7,"")</x:f>
      </x:c>
      <x:c r="F10" s="16" t="str">
        <x:v>Bälle</x:v>
      </x:c>
      <x:c r="G10" s="17" t="str">
        <x:v>Aufn.</x:v>
      </x:c>
      <x:c r="H10" s="22"/>
      <x:c r="I10" s="23"/>
      <x:c r="J10" s="22"/>
      <x:c r="K10" s="23"/>
      <x:c r="L10" s="2"/>
      <x:c r="M10" s="2"/>
      <x:c r="N10" s="26" t="str">
        <x:f>IF(COUNT(B11,D11,H11,J11)=0,"",SUM(B11,D11,H11,J11))</x:f>
      </x:c>
      <x:c r="O10" s="26" t="str">
        <x:f>IF(COUNT(B10,D10,H10,J10)=0,"",SUM(B10,D10,H10,J10))</x:f>
      </x:c>
      <x:c r="P10" s="26" t="str">
        <x:f>IF(COUNT(C10,E10,I10,K10)=0,"",SUM(C10,E10,I10,K10))</x:f>
      </x:c>
      <x:c r="Q10" s="29" t="str">
        <x:f>IF(COUNT(B11,D11,H11,J11)=0,"",MAX(IF(B11=2,B12,0),IF(D11=2,D12,0),IF(H11=2,H12,0),IF(J11=2,J12,0)))</x:f>
      </x:c>
      <x:c r="R10" s="29" t="str">
        <x:f>IF(P10&gt;0,TRUNC(O10/P10,3),"")</x:f>
      </x:c>
      <x:c r="S10" s="26" t="str">
        <x:f>IF(COUNT(C12,E12,I12,K12)=0,"",MAX(C12,E12,I12,K12))</x:f>
      </x:c>
      <x:c r="T10" s="26" t="str">
        <x:f>IF(Teilnehmer!O7&lt;&gt;"",Teilnehmer!O7,IF(COUNT(D5,F5,H5,J5,F8,H8,J8,H11,J11,J14)&lt;10,"",1+IF(AND(ISNUMBER(N4),N4&gt;N10),1,0)+IF(AND(ISNUMBER(N4),N4=N10,ISNUMBER(R4),R4&gt;R10),1,0)+IF(AND(ISNUMBER(N7),N7&gt;N10),1,0)+IF(AND(ISNUMBER(N7),N7=N10,ISNUMBER(R7),R7&gt;R10),1,0)+IF(AND(ISNUMBER(N10),N10&gt;N10),1,0)+IF(AND(ISNUMBER(N10),N10=N10,ISNUMBER(R10),R10&gt;R10),1,0)+IF(AND(ISNUMBER(N13),N13&gt;N10),1,0)+IF(AND(ISNUMBER(N13),N13=N10,ISNUMBER(R13),R13&gt;R10),1,0)+IF(AND(ISNUMBER(N16),N16&gt;N10),1,0)+IF(AND(ISNUMBER(N16),N16=N10,ISNUMBER(R16),R16&gt;R10),1,0)))</x:f>
      </x:c>
    </x:row>
    <x:row r="11" ht="24" customHeight="1">
      <x:c r="A11" s="33"/>
      <x:c r="B11" s="12" t="str">
        <x:f>IF(AND(ISNUMBER(B10),ISNUMBER(F4)),IF(IF(AND(Teilnehmer!F7&gt;0,Teilnehmer!F3&gt;0),B10/Teilnehmer!F7,B10)&gt;IF(AND(Teilnehmer!F7&gt;0,Teilnehmer!F3&gt;0),F4/Teilnehmer!F3,F4),2,IF(IF(AND(Teilnehmer!F7&gt;0,Teilnehmer!F3&gt;0),B10/Teilnehmer!F7,B10)=IF(AND(Teilnehmer!F7&gt;0,Teilnehmer!F3&gt;0),F4/Teilnehmer!F3,F4),1,0)),"")</x:f>
      </x:c>
      <x:c r="C11" s="13"/>
      <x:c r="D11" s="12" t="str">
        <x:f>IF(AND(ISNUMBER(D10),ISNUMBER(F7)),IF(IF(AND(Teilnehmer!F7&gt;0,Teilnehmer!F4&gt;0),D10/Teilnehmer!F7,D10)&gt;IF(AND(Teilnehmer!F7&gt;0,Teilnehmer!F4&gt;0),F7/Teilnehmer!F4,F7),2,IF(IF(AND(Teilnehmer!F7&gt;0,Teilnehmer!F4&gt;0),D10/Teilnehmer!F7,D10)=IF(AND(Teilnehmer!F7&gt;0,Teilnehmer!F4&gt;0),F7/Teilnehmer!F4,F7),1,0)),"")</x:f>
      </x:c>
      <x:c r="E11" s="13"/>
      <x:c r="F11" s="18" t="str">
        <x:v>Partiepunkte</x:v>
      </x:c>
      <x:c r="G11" s="19"/>
      <x:c r="H11" s="12" t="str">
        <x:f>IF(AND(ISNUMBER(H10),ISNUMBER(F13)),IF(IF(AND(Teilnehmer!F7&gt;0,Teilnehmer!F8&gt;0),H10/Teilnehmer!F7,H10)&gt;IF(AND(Teilnehmer!F7&gt;0,Teilnehmer!F8&gt;0),F13/Teilnehmer!F8,F13),2,IF(IF(AND(Teilnehmer!F7&gt;0,Teilnehmer!F8&gt;0),H10/Teilnehmer!F7,H10)=IF(AND(Teilnehmer!F7&gt;0,Teilnehmer!F8&gt;0),F13/Teilnehmer!F8,F13),1,0)),"")</x:f>
      </x:c>
      <x:c r="I11" s="13"/>
      <x:c r="J11" s="12" t="str">
        <x:f>IF(AND(ISNUMBER(J10),ISNUMBER(F16)),IF(IF(AND(Teilnehmer!F7&gt;0,Teilnehmer!F10&gt;0),J10/Teilnehmer!F7,J10)&gt;IF(AND(Teilnehmer!F7&gt;0,Teilnehmer!F10&gt;0),F16/Teilnehmer!F10,F16),2,IF(IF(AND(Teilnehmer!F7&gt;0,Teilnehmer!F10&gt;0),J10/Teilnehmer!F7,J10)=IF(AND(Teilnehmer!F7&gt;0,Teilnehmer!F10&gt;0),F16/Teilnehmer!F10,F16),1,0)),"")</x:f>
      </x:c>
      <x:c r="K11" s="13"/>
      <x:c r="L11" s="2"/>
      <x:c r="M11" s="2"/>
      <x:c r="N11" s="27"/>
      <x:c r="O11" s="27"/>
      <x:c r="P11" s="27"/>
      <x:c r="Q11" s="30"/>
      <x:c r="R11" s="30"/>
      <x:c r="S11" s="27"/>
      <x:c r="T11" s="27"/>
    </x:row>
    <x:row r="12" ht="24" customHeight="1">
      <x:c r="A12" s="33"/>
      <x:c r="B12" s="25" t="str">
        <x:f>IF(AND(ISNUMBER(B10),C10&gt;0),TRUNC(B10/C10,3),"")</x:f>
      </x:c>
      <x:c r="C12" s="24"/>
      <x:c r="D12" s="25" t="str">
        <x:f>IF(AND(ISNUMBER(D10),E10&gt;0),TRUNC(D10/E10,3),"")</x:f>
      </x:c>
      <x:c r="E12" s="24"/>
      <x:c r="F12" s="20" t="str">
        <x:v>DS</x:v>
      </x:c>
      <x:c r="G12" s="21" t="str">
        <x:v>HS</x:v>
      </x:c>
      <x:c r="H12" s="25" t="str">
        <x:f>IF(AND(ISNUMBER(H10),I10&gt;0),TRUNC(H10/I10,3),"")</x:f>
      </x:c>
      <x:c r="I12" s="24"/>
      <x:c r="J12" s="25" t="str">
        <x:f>IF(AND(ISNUMBER(J10),K10&gt;0),TRUNC(J10/K10,3),"")</x:f>
      </x:c>
      <x:c r="K12" s="24"/>
      <x:c r="L12" s="2"/>
      <x:c r="M12" s="2"/>
      <x:c r="N12" s="28"/>
      <x:c r="O12" s="28"/>
      <x:c r="P12" s="28"/>
      <x:c r="Q12" s="31"/>
      <x:c r="R12" s="31"/>
      <x:c r="S12" s="28"/>
      <x:c r="T12" s="28"/>
    </x:row>
    <x:row r="13" ht="24" customHeight="1">
      <x:c r="A13" s="33" t="str">
        <x:f>IF(Teilnehmer!B8="","",Teilnehmer!B8)</x:f>
      </x:c>
      <x:c r="B13" s="22"/>
      <x:c r="C13" s="23" t="str">
        <x:f>IF(ISNUMBER(I4),I4,"")</x:f>
      </x:c>
      <x:c r="D13" s="22"/>
      <x:c r="E13" s="23" t="str">
        <x:f>IF(ISNUMBER(I7),I7,"")</x:f>
      </x:c>
      <x:c r="F13" s="22"/>
      <x:c r="G13" s="23" t="str">
        <x:f>IF(ISNUMBER(I10),I10,"")</x:f>
      </x:c>
      <x:c r="H13" s="16" t="str">
        <x:v>Bälle</x:v>
      </x:c>
      <x:c r="I13" s="17" t="str">
        <x:v>Aufn.</x:v>
      </x:c>
      <x:c r="J13" s="22"/>
      <x:c r="K13" s="23"/>
      <x:c r="L13" s="2"/>
      <x:c r="M13" s="2"/>
      <x:c r="N13" s="26" t="str">
        <x:f>IF(COUNT(B14,D14,F14,J14)=0,"",SUM(B14,D14,F14,J14))</x:f>
      </x:c>
      <x:c r="O13" s="26" t="str">
        <x:f>IF(COUNT(B13,D13,F13,J13)=0,"",SUM(B13,D13,F13,J13))</x:f>
      </x:c>
      <x:c r="P13" s="26" t="str">
        <x:f>IF(COUNT(C13,E13,G13,K13)=0,"",SUM(C13,E13,G13,K13))</x:f>
      </x:c>
      <x:c r="Q13" s="29" t="str">
        <x:f>IF(COUNT(B14,D14,F14,J14)=0,"",MAX(IF(B14=2,B15,0),IF(D14=2,D15,0),IF(F14=2,F15,0),IF(J14=2,J15,0)))</x:f>
      </x:c>
      <x:c r="R13" s="29" t="str">
        <x:f>IF(P13&gt;0,TRUNC(O13/P13,3),"")</x:f>
      </x:c>
      <x:c r="S13" s="26" t="str">
        <x:f>IF(COUNT(C15,E15,G15,K15)=0,"",MAX(C15,E15,G15,K15))</x:f>
      </x:c>
      <x:c r="T13" s="26" t="str">
        <x:f>IF(Teilnehmer!O8&lt;&gt;"",Teilnehmer!O8,IF(COUNT(D5,F5,H5,J5,F8,H8,J8,H11,J11,J14)&lt;10,"",1+IF(AND(ISNUMBER(N4),N4&gt;N13),1,0)+IF(AND(ISNUMBER(N4),N4=N13,ISNUMBER(R4),R4&gt;R13),1,0)+IF(AND(ISNUMBER(N7),N7&gt;N13),1,0)+IF(AND(ISNUMBER(N7),N7=N13,ISNUMBER(R7),R7&gt;R13),1,0)+IF(AND(ISNUMBER(N10),N10&gt;N13),1,0)+IF(AND(ISNUMBER(N10),N10=N13,ISNUMBER(R10),R10&gt;R13),1,0)+IF(AND(ISNUMBER(N13),N13&gt;N13),1,0)+IF(AND(ISNUMBER(N13),N13=N13,ISNUMBER(R13),R13&gt;R13),1,0)+IF(AND(ISNUMBER(N16),N16&gt;N13),1,0)+IF(AND(ISNUMBER(N16),N16=N13,ISNUMBER(R16),R16&gt;R13),1,0)))</x:f>
      </x:c>
    </x:row>
    <x:row r="14" ht="24" customHeight="1">
      <x:c r="A14" s="33"/>
      <x:c r="B14" s="12" t="str">
        <x:f>IF(AND(ISNUMBER(B13),ISNUMBER(H4)),IF(IF(AND(Teilnehmer!F8&gt;0,Teilnehmer!F3&gt;0),B13/Teilnehmer!F8,B13)&gt;IF(AND(Teilnehmer!F8&gt;0,Teilnehmer!F3&gt;0),H4/Teilnehmer!F3,H4),2,IF(IF(AND(Teilnehmer!F8&gt;0,Teilnehmer!F3&gt;0),B13/Teilnehmer!F8,B13)=IF(AND(Teilnehmer!F8&gt;0,Teilnehmer!F3&gt;0),H4/Teilnehmer!F3,H4),1,0)),"")</x:f>
      </x:c>
      <x:c r="C14" s="13"/>
      <x:c r="D14" s="12" t="str">
        <x:f>IF(AND(ISNUMBER(D13),ISNUMBER(H7)),IF(IF(AND(Teilnehmer!F8&gt;0,Teilnehmer!F4&gt;0),D13/Teilnehmer!F8,D13)&gt;IF(AND(Teilnehmer!F8&gt;0,Teilnehmer!F4&gt;0),H7/Teilnehmer!F4,H7),2,IF(IF(AND(Teilnehmer!F8&gt;0,Teilnehmer!F4&gt;0),D13/Teilnehmer!F8,D13)=IF(AND(Teilnehmer!F8&gt;0,Teilnehmer!F4&gt;0),H7/Teilnehmer!F4,H7),1,0)),"")</x:f>
      </x:c>
      <x:c r="E14" s="13"/>
      <x:c r="F14" s="12" t="str">
        <x:f>IF(AND(ISNUMBER(F13),ISNUMBER(H10)),IF(IF(AND(Teilnehmer!F8&gt;0,Teilnehmer!F7&gt;0),F13/Teilnehmer!F8,F13)&gt;IF(AND(Teilnehmer!F8&gt;0,Teilnehmer!F7&gt;0),H10/Teilnehmer!F7,H10),2,IF(IF(AND(Teilnehmer!F8&gt;0,Teilnehmer!F7&gt;0),F13/Teilnehmer!F8,F13)=IF(AND(Teilnehmer!F8&gt;0,Teilnehmer!F7&gt;0),H10/Teilnehmer!F7,H10),1,0)),"")</x:f>
      </x:c>
      <x:c r="G14" s="13"/>
      <x:c r="H14" s="18" t="str">
        <x:v>Partiepunkte</x:v>
      </x:c>
      <x:c r="I14" s="19"/>
      <x:c r="J14" s="12" t="str">
        <x:f>IF(AND(ISNUMBER(J13),ISNUMBER(H16)),IF(IF(AND(Teilnehmer!F8&gt;0,Teilnehmer!F10&gt;0),J13/Teilnehmer!F8,J13)&gt;IF(AND(Teilnehmer!F8&gt;0,Teilnehmer!F10&gt;0),H16/Teilnehmer!F10,H16),2,IF(IF(AND(Teilnehmer!F8&gt;0,Teilnehmer!F10&gt;0),J13/Teilnehmer!F8,J13)=IF(AND(Teilnehmer!F8&gt;0,Teilnehmer!F10&gt;0),H16/Teilnehmer!F10,H16),1,0)),"")</x:f>
      </x:c>
      <x:c r="K14" s="13"/>
      <x:c r="L14" s="2"/>
      <x:c r="M14" s="2"/>
      <x:c r="N14" s="27"/>
      <x:c r="O14" s="27"/>
      <x:c r="P14" s="27"/>
      <x:c r="Q14" s="30"/>
      <x:c r="R14" s="30"/>
      <x:c r="S14" s="27"/>
      <x:c r="T14" s="27"/>
    </x:row>
    <x:row r="15" ht="24" customHeight="1">
      <x:c r="A15" s="33"/>
      <x:c r="B15" s="25" t="str">
        <x:f>IF(AND(ISNUMBER(B13),C13&gt;0),TRUNC(B13/C13,3),"")</x:f>
      </x:c>
      <x:c r="C15" s="24"/>
      <x:c r="D15" s="25" t="str">
        <x:f>IF(AND(ISNUMBER(D13),E13&gt;0),TRUNC(D13/E13,3),"")</x:f>
      </x:c>
      <x:c r="E15" s="24"/>
      <x:c r="F15" s="25" t="str">
        <x:f>IF(AND(ISNUMBER(F13),G13&gt;0),TRUNC(F13/G13,3),"")</x:f>
      </x:c>
      <x:c r="G15" s="24"/>
      <x:c r="H15" s="20" t="str">
        <x:v>DS</x:v>
      </x:c>
      <x:c r="I15" s="21" t="str">
        <x:v>HS</x:v>
      </x:c>
      <x:c r="J15" s="25" t="str">
        <x:f>IF(AND(ISNUMBER(J13),K13&gt;0),TRUNC(J13/K13,3),"")</x:f>
      </x:c>
      <x:c r="K15" s="24"/>
      <x:c r="L15" s="2"/>
      <x:c r="M15" s="2"/>
      <x:c r="N15" s="28"/>
      <x:c r="O15" s="28"/>
      <x:c r="P15" s="28"/>
      <x:c r="Q15" s="31"/>
      <x:c r="R15" s="31"/>
      <x:c r="S15" s="28"/>
      <x:c r="T15" s="28"/>
    </x:row>
    <x:row r="16" ht="24" customHeight="1">
      <x:c r="A16" s="33" t="str">
        <x:f>IF(Teilnehmer!B10="","",Teilnehmer!B10)</x:f>
      </x:c>
      <x:c r="B16" s="22"/>
      <x:c r="C16" s="23" t="str">
        <x:f>IF(ISNUMBER(K4),K4,"")</x:f>
      </x:c>
      <x:c r="D16" s="22"/>
      <x:c r="E16" s="23" t="str">
        <x:f>IF(ISNUMBER(K7),K7,"")</x:f>
      </x:c>
      <x:c r="F16" s="22"/>
      <x:c r="G16" s="23" t="str">
        <x:f>IF(ISNUMBER(K10),K10,"")</x:f>
      </x:c>
      <x:c r="H16" s="22"/>
      <x:c r="I16" s="23" t="str">
        <x:f>IF(ISNUMBER(K13),K13,"")</x:f>
      </x:c>
      <x:c r="J16" s="16" t="str">
        <x:v>Bälle</x:v>
      </x:c>
      <x:c r="K16" s="17" t="str">
        <x:v>Aufn.</x:v>
      </x:c>
      <x:c r="L16" s="2"/>
      <x:c r="M16" s="2"/>
      <x:c r="N16" s="26" t="str">
        <x:f>IF(COUNT(B17,D17,F17,H17)=0,"",SUM(B17,D17,F17,H17))</x:f>
      </x:c>
      <x:c r="O16" s="26" t="str">
        <x:f>IF(COUNT(B16,D16,F16,H16)=0,"",SUM(B16,D16,F16,H16))</x:f>
      </x:c>
      <x:c r="P16" s="26" t="str">
        <x:f>IF(COUNT(C16,E16,G16,I16)=0,"",SUM(C16,E16,G16,I16))</x:f>
      </x:c>
      <x:c r="Q16" s="29" t="str">
        <x:f>IF(COUNT(B17,D17,F17,H17)=0,"",MAX(IF(B17=2,B18,0),IF(D17=2,D18,0),IF(F17=2,F18,0),IF(H17=2,H18,0)))</x:f>
      </x:c>
      <x:c r="R16" s="29" t="str">
        <x:f>IF(P16&gt;0,TRUNC(O16/P16,3),"")</x:f>
      </x:c>
      <x:c r="S16" s="26" t="str">
        <x:f>IF(COUNT(C18,E18,G18,I18)=0,"",MAX(C18,E18,G18,I18))</x:f>
      </x:c>
      <x:c r="T16" s="26" t="str">
        <x:f>IF(Teilnehmer!O10&lt;&gt;"",Teilnehmer!O10,IF(COUNT(D5,F5,H5,J5,F8,H8,J8,H11,J11,J14)&lt;10,"",1+IF(AND(ISNUMBER(N4),N4&gt;N16),1,0)+IF(AND(ISNUMBER(N4),N4=N16,ISNUMBER(R4),R4&gt;R16),1,0)+IF(AND(ISNUMBER(N7),N7&gt;N16),1,0)+IF(AND(ISNUMBER(N7),N7=N16,ISNUMBER(R7),R7&gt;R16),1,0)+IF(AND(ISNUMBER(N10),N10&gt;N16),1,0)+IF(AND(ISNUMBER(N10),N10=N16,ISNUMBER(R10),R10&gt;R16),1,0)+IF(AND(ISNUMBER(N13),N13&gt;N16),1,0)+IF(AND(ISNUMBER(N13),N13=N16,ISNUMBER(R13),R13&gt;R16),1,0)+IF(AND(ISNUMBER(N16),N16&gt;N16),1,0)+IF(AND(ISNUMBER(N16),N16=N16,ISNUMBER(R16),R16&gt;R16),1,0)))</x:f>
      </x:c>
    </x:row>
    <x:row r="17" ht="24" customHeight="1">
      <x:c r="A17" s="33"/>
      <x:c r="B17" s="12" t="str">
        <x:f>IF(AND(ISNUMBER(B16),ISNUMBER(J4)),IF(IF(AND(Teilnehmer!F10&gt;0,Teilnehmer!F3&gt;0),B16/Teilnehmer!F10,B16)&gt;IF(AND(Teilnehmer!F10&gt;0,Teilnehmer!F3&gt;0),J4/Teilnehmer!F3,J4),2,IF(IF(AND(Teilnehmer!F10&gt;0,Teilnehmer!F3&gt;0),B16/Teilnehmer!F10,B16)=IF(AND(Teilnehmer!F10&gt;0,Teilnehmer!F3&gt;0),J4/Teilnehmer!F3,J4),1,0)),"")</x:f>
      </x:c>
      <x:c r="C17" s="13"/>
      <x:c r="D17" s="12" t="str">
        <x:f>IF(AND(ISNUMBER(D16),ISNUMBER(J7)),IF(IF(AND(Teilnehmer!F10&gt;0,Teilnehmer!F4&gt;0),D16/Teilnehmer!F10,D16)&gt;IF(AND(Teilnehmer!F10&gt;0,Teilnehmer!F4&gt;0),J7/Teilnehmer!F4,J7),2,IF(IF(AND(Teilnehmer!F10&gt;0,Teilnehmer!F4&gt;0),D16/Teilnehmer!F10,D16)=IF(AND(Teilnehmer!F10&gt;0,Teilnehmer!F4&gt;0),J7/Teilnehmer!F4,J7),1,0)),"")</x:f>
      </x:c>
      <x:c r="E17" s="13"/>
      <x:c r="F17" s="12" t="str">
        <x:f>IF(AND(ISNUMBER(F16),ISNUMBER(J10)),IF(IF(AND(Teilnehmer!F10&gt;0,Teilnehmer!F7&gt;0),F16/Teilnehmer!F10,F16)&gt;IF(AND(Teilnehmer!F10&gt;0,Teilnehmer!F7&gt;0),J10/Teilnehmer!F7,J10),2,IF(IF(AND(Teilnehmer!F10&gt;0,Teilnehmer!F7&gt;0),F16/Teilnehmer!F10,F16)=IF(AND(Teilnehmer!F10&gt;0,Teilnehmer!F7&gt;0),J10/Teilnehmer!F7,J10),1,0)),"")</x:f>
      </x:c>
      <x:c r="G17" s="13"/>
      <x:c r="H17" s="12" t="str">
        <x:f>IF(AND(ISNUMBER(H16),ISNUMBER(J13)),IF(IF(AND(Teilnehmer!F10&gt;0,Teilnehmer!F8&gt;0),H16/Teilnehmer!F10,H16)&gt;IF(AND(Teilnehmer!F10&gt;0,Teilnehmer!F8&gt;0),J13/Teilnehmer!F8,J13),2,IF(IF(AND(Teilnehmer!F10&gt;0,Teilnehmer!F8&gt;0),H16/Teilnehmer!F10,H16)=IF(AND(Teilnehmer!F10&gt;0,Teilnehmer!F8&gt;0),J13/Teilnehmer!F8,J13),1,0)),"")</x:f>
      </x:c>
      <x:c r="I17" s="13"/>
      <x:c r="J17" s="18" t="str">
        <x:v>Partiepunkte</x:v>
      </x:c>
      <x:c r="K17" s="19"/>
      <x:c r="L17" s="2"/>
      <x:c r="M17" s="2"/>
      <x:c r="N17" s="27"/>
      <x:c r="O17" s="27"/>
      <x:c r="P17" s="27"/>
      <x:c r="Q17" s="30"/>
      <x:c r="R17" s="30"/>
      <x:c r="S17" s="27"/>
      <x:c r="T17" s="27"/>
    </x:row>
    <x:row r="18" ht="24" customHeight="1">
      <x:c r="A18" s="34"/>
      <x:c r="B18" s="25" t="str">
        <x:f>IF(AND(ISNUMBER(B16),C16&gt;0),TRUNC(B16/C16,3),"")</x:f>
      </x:c>
      <x:c r="C18" s="24"/>
      <x:c r="D18" s="25" t="str">
        <x:f>IF(AND(ISNUMBER(D16),E16&gt;0),TRUNC(D16/E16,3),"")</x:f>
      </x:c>
      <x:c r="E18" s="24"/>
      <x:c r="F18" s="25" t="str">
        <x:f>IF(AND(ISNUMBER(F16),G16&gt;0),TRUNC(F16/G16,3),"")</x:f>
      </x:c>
      <x:c r="G18" s="24"/>
      <x:c r="H18" s="25" t="str">
        <x:f>IF(AND(ISNUMBER(H16),I16&gt;0),TRUNC(H16/I16,3),"")</x:f>
      </x:c>
      <x:c r="I18" s="24"/>
      <x:c r="J18" s="20" t="str">
        <x:v>DS</x:v>
      </x:c>
      <x:c r="K18" s="21" t="str">
        <x:v>HS</x:v>
      </x:c>
      <x:c r="L18" s="2"/>
      <x:c r="M18" s="2"/>
      <x:c r="N18" s="28"/>
      <x:c r="O18" s="28"/>
      <x:c r="P18" s="28"/>
      <x:c r="Q18" s="31"/>
      <x:c r="R18" s="31"/>
      <x:c r="S18" s="28"/>
      <x:c r="T18" s="28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30" customHeight="1">
      <x:c r="A20" s="2" t="str">
        <x:v>Grün: Bälle, Aufnahmen, HS. Bei Vorgabe zählt der erreichte Anteil. Rangkorrektur bei Gleichstand: Teilnehmer, Spalte O.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</x:sheetData>
  <x:mergeCells>
    <x:mergeCell ref="D1:P1"/>
    <x:mergeCell ref="S1:T1"/>
    <x:mergeCell ref="S2:T2"/>
    <x:mergeCell ref="B3:C3"/>
    <x:mergeCell ref="A4:A6"/>
    <x:mergeCell ref="B5:C5"/>
    <x:mergeCell ref="D5:E5"/>
    <x:mergeCell ref="F5:G5"/>
    <x:mergeCell ref="H5:I5"/>
    <x:mergeCell ref="J5:K5"/>
    <x:mergeCell ref="N4:N6"/>
    <x:mergeCell ref="O4:O6"/>
    <x:mergeCell ref="P4:P6"/>
    <x:mergeCell ref="Q4:Q6"/>
    <x:mergeCell ref="R4:R6"/>
    <x:mergeCell ref="S4:S6"/>
    <x:mergeCell ref="T4:T6"/>
    <x:mergeCell ref="D3:E3"/>
    <x:mergeCell ref="A7:A9"/>
    <x:mergeCell ref="B8:C8"/>
    <x:mergeCell ref="D8:E8"/>
    <x:mergeCell ref="F8:G8"/>
    <x:mergeCell ref="H8:I8"/>
    <x:mergeCell ref="J8:K8"/>
    <x:mergeCell ref="N7:N9"/>
    <x:mergeCell ref="O7:O9"/>
    <x:mergeCell ref="P7:P9"/>
    <x:mergeCell ref="Q7:Q9"/>
    <x:mergeCell ref="R7:R9"/>
    <x:mergeCell ref="S7:S9"/>
    <x:mergeCell ref="T7:T9"/>
    <x:mergeCell ref="F3:G3"/>
    <x:mergeCell ref="A10:A12"/>
    <x:mergeCell ref="B11:C11"/>
    <x:mergeCell ref="D11:E11"/>
    <x:mergeCell ref="F11:G11"/>
    <x:mergeCell ref="H11:I11"/>
    <x:mergeCell ref="J11:K11"/>
    <x:mergeCell ref="N10:N12"/>
    <x:mergeCell ref="O10:O12"/>
    <x:mergeCell ref="P10:P12"/>
    <x:mergeCell ref="Q10:Q12"/>
    <x:mergeCell ref="R10:R12"/>
    <x:mergeCell ref="S10:S12"/>
    <x:mergeCell ref="T10:T12"/>
    <x:mergeCell ref="H3:I3"/>
    <x:mergeCell ref="A13:A15"/>
    <x:mergeCell ref="B14:C14"/>
    <x:mergeCell ref="D14:E14"/>
    <x:mergeCell ref="F14:G14"/>
    <x:mergeCell ref="H14:I14"/>
    <x:mergeCell ref="J14:K14"/>
    <x:mergeCell ref="N13:N15"/>
    <x:mergeCell ref="O13:O15"/>
    <x:mergeCell ref="P13:P15"/>
    <x:mergeCell ref="Q13:Q15"/>
    <x:mergeCell ref="R13:R15"/>
    <x:mergeCell ref="S13:S15"/>
    <x:mergeCell ref="T13:T15"/>
    <x:mergeCell ref="J3:K3"/>
    <x:mergeCell ref="A16:A18"/>
    <x:mergeCell ref="B17:C17"/>
    <x:mergeCell ref="D17:E17"/>
    <x:mergeCell ref="F17:G17"/>
    <x:mergeCell ref="H17:I17"/>
    <x:mergeCell ref="J17:K17"/>
    <x:mergeCell ref="N16:N18"/>
    <x:mergeCell ref="O16:O18"/>
    <x:mergeCell ref="P16:P18"/>
    <x:mergeCell ref="Q16:Q18"/>
    <x:mergeCell ref="R16:R18"/>
    <x:mergeCell ref="S16:S18"/>
    <x:mergeCell ref="T16:T18"/>
    <x:mergeCell ref="A20:T20"/>
  </x:mergeCells>
  <x:pageMargins left="0.2" right="0.2" top="0.3" bottom="0.3" header="0.1" footer="0.1"/>
  <x:pageSetup paperSize="9" orientation="landscape" fitToWidth="1" fitToHeight="1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11" hidden="0" customWidth="1"/>
    <x:col min="4" max="4" width="30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30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35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2" hidden="1" width="10" customWidth="1"/>
  </x:cols>
  <x:sheetData>
    <x:row r="1" ht="36" customHeight="1">
      <x:c r="A1" s="7" t="str">
        <x:v>2=gewonnen  1=unentschieden</x:v>
      </x:c>
      <x:c r="B1" s="2"/>
      <x:c r="C1" s="2"/>
      <x:c r="D1" s="5" t="str">
        <x:v>T16a – Finalrunde</x:v>
      </x:c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2"/>
      <x:c r="R1" s="2" t="str">
        <x:v>Ausrichter:</x:v>
      </x:c>
      <x:c r="S1" s="2" t="str"/>
      <x:c r="T1" s="2"/>
    </x:row>
    <x:row r="2" ht="24" customHeight="1">
      <x:c r="A2" s="7" t="str">
        <x:v>0=verloren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 t="str">
        <x:v>Datum:</x:v>
      </x:c>
      <x:c r="S2" s="6"/>
      <x:c r="T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40" customHeight="1">
      <x:c r="A4" s="9" t="str">
        <x:v>Runde</x:v>
      </x:c>
      <x:c r="B4" s="9" t="str">
        <x:v>Tisch</x:v>
      </x:c>
      <x:c r="C4" s="9" t="str">
        <x:v>Spiel</x:v>
      </x:c>
      <x:c r="D4" s="9" t="str">
        <x:v>Spieler 1</x:v>
      </x:c>
      <x:c r="E4" s="9" t="str">
        <x:v>Bälle 1</x:v>
      </x:c>
      <x:c r="F4" s="9" t="str">
        <x:v>Aufn. 1</x:v>
      </x:c>
      <x:c r="G4" s="9" t="str">
        <x:v>HS 1</x:v>
      </x:c>
      <x:c r="H4" s="9" t="str">
        <x:v>MP 1</x:v>
      </x:c>
      <x:c r="I4" s="9" t="str">
        <x:v>Spieler 2</x:v>
      </x:c>
      <x:c r="J4" s="9" t="str">
        <x:v>Bälle 2</x:v>
      </x:c>
      <x:c r="K4" s="9" t="str">
        <x:v>Aufn. 2</x:v>
      </x:c>
      <x:c r="L4" s="9" t="str">
        <x:v>HS 2</x:v>
      </x:c>
      <x:c r="M4" s="9" t="str">
        <x:v>MP 2</x:v>
      </x:c>
      <x:c r="N4" s="9" t="str">
        <x:v>Entscheidung</x:v>
      </x:c>
      <x:c r="O4" s="2"/>
      <x:c r="P4" s="2"/>
      <x:c r="Q4" s="2"/>
      <x:c r="R4" s="2"/>
      <x:c r="S4" s="2"/>
      <x:c r="T4" s="2"/>
    </x:row>
    <x:row r="5" ht="24" customHeight="1">
      <x:c r="A5" s="2" t="n">
        <x:v>6</x:v>
      </x:c>
      <x:c r="B5" s="2" t="n">
        <x:v>1</x:v>
      </x:c>
      <x:c r="C5" s="2" t="str">
        <x:v>HF1</x:v>
      </x:c>
      <x:c r="D5" s="2" t="str">
        <x:f>IF(U5="","",INDEX(Teilnehmer!$B$2:$B$10,MATCH(U5,Teilnehmer!$A$2:$A$10,0)))</x:f>
      </x:c>
      <x:c r="E5" s="3"/>
      <x:c r="F5" s="3"/>
      <x:c r="G5" s="3"/>
      <x:c r="H5" s="3" t="str">
        <x:f>IF(AND(ISNUMBER(E5),ISNUMBER(J5),U5&lt;&gt;"",V5&lt;&gt;""),IF(IF(AND(INDEX(Teilnehmer!$F$2:$F$10,MATCH(U5,Teilnehmer!$A$2:$A$10,0))&gt;0,INDEX(Teilnehmer!$F$2:$F$10,MATCH(V5,Teilnehmer!$A$2:$A$10,0))&gt;0),E5/INDEX(Teilnehmer!$F$2:$F$10,MATCH(U5,Teilnehmer!$A$2:$A$10,0)),E5)&gt;IF(AND(INDEX(Teilnehmer!$F$2:$F$10,MATCH(U5,Teilnehmer!$A$2:$A$10,0))&gt;0,INDEX(Teilnehmer!$F$2:$F$10,MATCH(V5,Teilnehmer!$A$2:$A$10,0))&gt;0),J5/INDEX(Teilnehmer!$F$2:$F$10,MATCH(V5,Teilnehmer!$A$2:$A$10,0)),J5),2,IF(IF(AND(INDEX(Teilnehmer!$F$2:$F$10,MATCH(U5,Teilnehmer!$A$2:$A$10,0))&gt;0,INDEX(Teilnehmer!$F$2:$F$10,MATCH(V5,Teilnehmer!$A$2:$A$10,0))&gt;0),E5/INDEX(Teilnehmer!$F$2:$F$10,MATCH(U5,Teilnehmer!$A$2:$A$10,0)),E5)=IF(AND(INDEX(Teilnehmer!$F$2:$F$10,MATCH(U5,Teilnehmer!$A$2:$A$10,0))&gt;0,INDEX(Teilnehmer!$F$2:$F$10,MATCH(V5,Teilnehmer!$A$2:$A$10,0))&gt;0),J5/INDEX(Teilnehmer!$F$2:$F$10,MATCH(V5,Teilnehmer!$A$2:$A$10,0)),J5),1,0)),"")</x:f>
      </x:c>
      <x:c r="I5" s="2" t="str">
        <x:f>IF(V5="","",INDEX(Teilnehmer!$B$2:$B$10,MATCH(V5,Teilnehmer!$A$2:$A$10,0)))</x:f>
      </x:c>
      <x:c r="J5" s="3"/>
      <x:c r="K5" s="3"/>
      <x:c r="L5" s="3"/>
      <x:c r="M5" s="3" t="str">
        <x:f>IF(ISNUMBER(H5),2-H5,"")</x:f>
      </x:c>
      <x:c r="N5" s="2" t="str">
        <x:v>MP bei Verlängerung 2/0 eintragen</x:v>
      </x:c>
      <x:c r="O5" s="2"/>
      <x:c r="P5" s="2"/>
      <x:c r="Q5" s="2"/>
      <x:c r="R5" s="2"/>
      <x:c r="S5" s="2"/>
      <x:c r="T5" s="2"/>
      <x:c r="U5" t="str">
        <x:f>IF(COUNTIF(Teilnehmer!$P$2:$P$10,"A1")=1,INDEX(Teilnehmer!$A$2:$A$10,MATCH("A1",Teilnehmer!$P$2:$P$10,0)),"")</x:f>
      </x:c>
      <x:c r="V5" t="str">
        <x:f>IF(COUNTIF(Teilnehmer!$P$2:$P$10,"B2")=1,INDEX(Teilnehmer!$A$2:$A$10,MATCH("B2",Teilnehmer!$P$2:$P$10,0)),"")</x:f>
      </x:c>
    </x:row>
    <x:row r="6" ht="24" customHeight="1">
      <x:c r="A6" s="2" t="n">
        <x:v>6</x:v>
      </x:c>
      <x:c r="B6" s="2" t="n">
        <x:v>2</x:v>
      </x:c>
      <x:c r="C6" s="2" t="str">
        <x:v>HF2</x:v>
      </x:c>
      <x:c r="D6" s="2" t="str">
        <x:f>IF(U6="","",INDEX(Teilnehmer!$B$2:$B$10,MATCH(U6,Teilnehmer!$A$2:$A$10,0)))</x:f>
      </x:c>
      <x:c r="E6" s="3"/>
      <x:c r="F6" s="3"/>
      <x:c r="G6" s="3"/>
      <x:c r="H6" s="3" t="str">
        <x:f>IF(AND(ISNUMBER(E6),ISNUMBER(J6),U6&lt;&gt;"",V6&lt;&gt;""),IF(IF(AND(INDEX(Teilnehmer!$F$2:$F$10,MATCH(U6,Teilnehmer!$A$2:$A$10,0))&gt;0,INDEX(Teilnehmer!$F$2:$F$10,MATCH(V6,Teilnehmer!$A$2:$A$10,0))&gt;0),E6/INDEX(Teilnehmer!$F$2:$F$10,MATCH(U6,Teilnehmer!$A$2:$A$10,0)),E6)&gt;IF(AND(INDEX(Teilnehmer!$F$2:$F$10,MATCH(U6,Teilnehmer!$A$2:$A$10,0))&gt;0,INDEX(Teilnehmer!$F$2:$F$10,MATCH(V6,Teilnehmer!$A$2:$A$10,0))&gt;0),J6/INDEX(Teilnehmer!$F$2:$F$10,MATCH(V6,Teilnehmer!$A$2:$A$10,0)),J6),2,IF(IF(AND(INDEX(Teilnehmer!$F$2:$F$10,MATCH(U6,Teilnehmer!$A$2:$A$10,0))&gt;0,INDEX(Teilnehmer!$F$2:$F$10,MATCH(V6,Teilnehmer!$A$2:$A$10,0))&gt;0),E6/INDEX(Teilnehmer!$F$2:$F$10,MATCH(U6,Teilnehmer!$A$2:$A$10,0)),E6)=IF(AND(INDEX(Teilnehmer!$F$2:$F$10,MATCH(U6,Teilnehmer!$A$2:$A$10,0))&gt;0,INDEX(Teilnehmer!$F$2:$F$10,MATCH(V6,Teilnehmer!$A$2:$A$10,0))&gt;0),J6/INDEX(Teilnehmer!$F$2:$F$10,MATCH(V6,Teilnehmer!$A$2:$A$10,0)),J6),1,0)),"")</x:f>
      </x:c>
      <x:c r="I6" s="2" t="str">
        <x:f>IF(V6="","",INDEX(Teilnehmer!$B$2:$B$10,MATCH(V6,Teilnehmer!$A$2:$A$10,0)))</x:f>
      </x:c>
      <x:c r="J6" s="3"/>
      <x:c r="K6" s="3"/>
      <x:c r="L6" s="3"/>
      <x:c r="M6" s="3" t="str">
        <x:f>IF(ISNUMBER(H6),2-H6,"")</x:f>
      </x:c>
      <x:c r="N6" s="2" t="str">
        <x:v>MP bei Verlängerung 2/0 eintragen</x:v>
      </x:c>
      <x:c r="O6" s="2"/>
      <x:c r="P6" s="2"/>
      <x:c r="Q6" s="2"/>
      <x:c r="R6" s="2"/>
      <x:c r="S6" s="2"/>
      <x:c r="T6" s="2"/>
      <x:c r="U6" t="str">
        <x:f>IF(COUNTIF(Teilnehmer!$P$2:$P$10,"B1")=1,INDEX(Teilnehmer!$A$2:$A$10,MATCH("B1",Teilnehmer!$P$2:$P$10,0)),"")</x:f>
      </x:c>
      <x:c r="V6" t="str">
        <x:f>IF(COUNTIF(Teilnehmer!$P$2:$P$10,"A2")=1,INDEX(Teilnehmer!$A$2:$A$10,MATCH("A2",Teilnehmer!$P$2:$P$10,0)),"")</x:f>
      </x:c>
    </x:row>
    <x:row r="7" ht="24" customHeight="1">
      <x:c r="A7" s="2" t="n">
        <x:v>6</x:v>
      </x:c>
      <x:c r="B7" s="2" t="n">
        <x:v>3</x:v>
      </x:c>
      <x:c r="C7" s="2" t="str">
        <x:v>Platz 5–6</x:v>
      </x:c>
      <x:c r="D7" s="2" t="str">
        <x:f>IF(U7="","",INDEX(Teilnehmer!$B$2:$B$10,MATCH(U7,Teilnehmer!$A$2:$A$10,0)))</x:f>
      </x:c>
      <x:c r="E7" s="3"/>
      <x:c r="F7" s="3"/>
      <x:c r="G7" s="3"/>
      <x:c r="H7" s="3" t="str">
        <x:f>IF(AND(ISNUMBER(E7),ISNUMBER(J7),U7&lt;&gt;"",V7&lt;&gt;""),IF(IF(AND(INDEX(Teilnehmer!$F$2:$F$10,MATCH(U7,Teilnehmer!$A$2:$A$10,0))&gt;0,INDEX(Teilnehmer!$F$2:$F$10,MATCH(V7,Teilnehmer!$A$2:$A$10,0))&gt;0),E7/INDEX(Teilnehmer!$F$2:$F$10,MATCH(U7,Teilnehmer!$A$2:$A$10,0)),E7)&gt;IF(AND(INDEX(Teilnehmer!$F$2:$F$10,MATCH(U7,Teilnehmer!$A$2:$A$10,0))&gt;0,INDEX(Teilnehmer!$F$2:$F$10,MATCH(V7,Teilnehmer!$A$2:$A$10,0))&gt;0),J7/INDEX(Teilnehmer!$F$2:$F$10,MATCH(V7,Teilnehmer!$A$2:$A$10,0)),J7),2,IF(IF(AND(INDEX(Teilnehmer!$F$2:$F$10,MATCH(U7,Teilnehmer!$A$2:$A$10,0))&gt;0,INDEX(Teilnehmer!$F$2:$F$10,MATCH(V7,Teilnehmer!$A$2:$A$10,0))&gt;0),E7/INDEX(Teilnehmer!$F$2:$F$10,MATCH(U7,Teilnehmer!$A$2:$A$10,0)),E7)=IF(AND(INDEX(Teilnehmer!$F$2:$F$10,MATCH(U7,Teilnehmer!$A$2:$A$10,0))&gt;0,INDEX(Teilnehmer!$F$2:$F$10,MATCH(V7,Teilnehmer!$A$2:$A$10,0))&gt;0),J7/INDEX(Teilnehmer!$F$2:$F$10,MATCH(V7,Teilnehmer!$A$2:$A$10,0)),J7),1,0)),"")</x:f>
      </x:c>
      <x:c r="I7" s="2" t="str">
        <x:f>IF(V7="","",INDEX(Teilnehmer!$B$2:$B$10,MATCH(V7,Teilnehmer!$A$2:$A$10,0)))</x:f>
      </x:c>
      <x:c r="J7" s="3"/>
      <x:c r="K7" s="3"/>
      <x:c r="L7" s="3"/>
      <x:c r="M7" s="3" t="str">
        <x:f>IF(ISNUMBER(H7),2-H7,"")</x:f>
      </x:c>
      <x:c r="N7" s="2" t="str">
        <x:v>MP bei Verlängerung 2/0 eintragen</x:v>
      </x:c>
      <x:c r="O7" s="2"/>
      <x:c r="P7" s="2"/>
      <x:c r="Q7" s="2"/>
      <x:c r="R7" s="2"/>
      <x:c r="S7" s="2"/>
      <x:c r="T7" s="2"/>
      <x:c r="U7" t="str">
        <x:f>IF(COUNTIF(Teilnehmer!$P$2:$P$10,"A3")=1,INDEX(Teilnehmer!$A$2:$A$10,MATCH("A3",Teilnehmer!$P$2:$P$10,0)),"")</x:f>
      </x:c>
      <x:c r="V7" t="str">
        <x:f>IF(COUNTIF(Teilnehmer!$P$2:$P$10,"B3")=1,INDEX(Teilnehmer!$A$2:$A$10,MATCH("B3",Teilnehmer!$P$2:$P$10,0)),"")</x:f>
      </x:c>
    </x:row>
    <x:row r="8" ht="24" customHeight="1">
      <x:c r="A8" s="2" t="n">
        <x:v>6</x:v>
      </x:c>
      <x:c r="B8" s="2" t="n">
        <x:v>4</x:v>
      </x:c>
      <x:c r="C8" s="2" t="str">
        <x:v>Platz 7–8</x:v>
      </x:c>
      <x:c r="D8" s="2" t="str">
        <x:f>IF(U8="","",INDEX(Teilnehmer!$B$2:$B$10,MATCH(U8,Teilnehmer!$A$2:$A$10,0)))</x:f>
      </x:c>
      <x:c r="E8" s="3"/>
      <x:c r="F8" s="3"/>
      <x:c r="G8" s="3"/>
      <x:c r="H8" s="3" t="str">
        <x:f>IF(AND(ISNUMBER(E8),ISNUMBER(J8),U8&lt;&gt;"",V8&lt;&gt;""),IF(IF(AND(INDEX(Teilnehmer!$F$2:$F$10,MATCH(U8,Teilnehmer!$A$2:$A$10,0))&gt;0,INDEX(Teilnehmer!$F$2:$F$10,MATCH(V8,Teilnehmer!$A$2:$A$10,0))&gt;0),E8/INDEX(Teilnehmer!$F$2:$F$10,MATCH(U8,Teilnehmer!$A$2:$A$10,0)),E8)&gt;IF(AND(INDEX(Teilnehmer!$F$2:$F$10,MATCH(U8,Teilnehmer!$A$2:$A$10,0))&gt;0,INDEX(Teilnehmer!$F$2:$F$10,MATCH(V8,Teilnehmer!$A$2:$A$10,0))&gt;0),J8/INDEX(Teilnehmer!$F$2:$F$10,MATCH(V8,Teilnehmer!$A$2:$A$10,0)),J8),2,IF(IF(AND(INDEX(Teilnehmer!$F$2:$F$10,MATCH(U8,Teilnehmer!$A$2:$A$10,0))&gt;0,INDEX(Teilnehmer!$F$2:$F$10,MATCH(V8,Teilnehmer!$A$2:$A$10,0))&gt;0),E8/INDEX(Teilnehmer!$F$2:$F$10,MATCH(U8,Teilnehmer!$A$2:$A$10,0)),E8)=IF(AND(INDEX(Teilnehmer!$F$2:$F$10,MATCH(U8,Teilnehmer!$A$2:$A$10,0))&gt;0,INDEX(Teilnehmer!$F$2:$F$10,MATCH(V8,Teilnehmer!$A$2:$A$10,0))&gt;0),J8/INDEX(Teilnehmer!$F$2:$F$10,MATCH(V8,Teilnehmer!$A$2:$A$10,0)),J8),1,0)),"")</x:f>
      </x:c>
      <x:c r="I8" s="2" t="str">
        <x:f>IF(V8="","",INDEX(Teilnehmer!$B$2:$B$10,MATCH(V8,Teilnehmer!$A$2:$A$10,0)))</x:f>
      </x:c>
      <x:c r="J8" s="3"/>
      <x:c r="K8" s="3"/>
      <x:c r="L8" s="3"/>
      <x:c r="M8" s="3" t="str">
        <x:f>IF(ISNUMBER(H8),2-H8,"")</x:f>
      </x:c>
      <x:c r="N8" s="2" t="str">
        <x:v>MP bei Verlängerung 2/0 eintragen</x:v>
      </x:c>
      <x:c r="O8" s="2"/>
      <x:c r="P8" s="2"/>
      <x:c r="Q8" s="2"/>
      <x:c r="R8" s="2"/>
      <x:c r="S8" s="2"/>
      <x:c r="T8" s="2"/>
      <x:c r="U8" t="str">
        <x:f>IF(COUNTIF(Teilnehmer!$P$2:$P$10,"A4")=1,INDEX(Teilnehmer!$A$2:$A$10,MATCH("A4",Teilnehmer!$P$2:$P$10,0)),"")</x:f>
      </x:c>
      <x:c r="V8" t="str">
        <x:f>IF(COUNTIF(Teilnehmer!$P$2:$P$10,"B4")=1,INDEX(Teilnehmer!$A$2:$A$10,MATCH("B4",Teilnehmer!$P$2:$P$10,0)),"")</x:f>
      </x:c>
    </x:row>
    <x:row r="9" ht="24" customHeight="1">
      <x:c r="A9" s="2" t="n">
        <x:v>7</x:v>
      </x:c>
      <x:c r="B9" s="2" t="n">
        <x:v>1</x:v>
      </x:c>
      <x:c r="C9" s="2" t="str">
        <x:v>Finale</x:v>
      </x:c>
      <x:c r="D9" s="2" t="str">
        <x:f>IF(U9="","",INDEX(Teilnehmer!$B$2:$B$10,MATCH(U9,Teilnehmer!$A$2:$A$10,0)))</x:f>
      </x:c>
      <x:c r="E9" s="3"/>
      <x:c r="F9" s="3"/>
      <x:c r="G9" s="3"/>
      <x:c r="H9" s="3" t="str">
        <x:f>IF(AND(ISNUMBER(E9),ISNUMBER(J9),U9&lt;&gt;"",V9&lt;&gt;""),IF(IF(AND(INDEX(Teilnehmer!$F$2:$F$10,MATCH(U9,Teilnehmer!$A$2:$A$10,0))&gt;0,INDEX(Teilnehmer!$F$2:$F$10,MATCH(V9,Teilnehmer!$A$2:$A$10,0))&gt;0),E9/INDEX(Teilnehmer!$F$2:$F$10,MATCH(U9,Teilnehmer!$A$2:$A$10,0)),E9)&gt;IF(AND(INDEX(Teilnehmer!$F$2:$F$10,MATCH(U9,Teilnehmer!$A$2:$A$10,0))&gt;0,INDEX(Teilnehmer!$F$2:$F$10,MATCH(V9,Teilnehmer!$A$2:$A$10,0))&gt;0),J9/INDEX(Teilnehmer!$F$2:$F$10,MATCH(V9,Teilnehmer!$A$2:$A$10,0)),J9),2,IF(IF(AND(INDEX(Teilnehmer!$F$2:$F$10,MATCH(U9,Teilnehmer!$A$2:$A$10,0))&gt;0,INDEX(Teilnehmer!$F$2:$F$10,MATCH(V9,Teilnehmer!$A$2:$A$10,0))&gt;0),E9/INDEX(Teilnehmer!$F$2:$F$10,MATCH(U9,Teilnehmer!$A$2:$A$10,0)),E9)=IF(AND(INDEX(Teilnehmer!$F$2:$F$10,MATCH(U9,Teilnehmer!$A$2:$A$10,0))&gt;0,INDEX(Teilnehmer!$F$2:$F$10,MATCH(V9,Teilnehmer!$A$2:$A$10,0))&gt;0),J9/INDEX(Teilnehmer!$F$2:$F$10,MATCH(V9,Teilnehmer!$A$2:$A$10,0)),J9),1,0)),"")</x:f>
      </x:c>
      <x:c r="I9" s="2" t="str">
        <x:f>IF(V9="","",INDEX(Teilnehmer!$B$2:$B$10,MATCH(V9,Teilnehmer!$A$2:$A$10,0)))</x:f>
      </x:c>
      <x:c r="J9" s="3"/>
      <x:c r="K9" s="3"/>
      <x:c r="L9" s="3"/>
      <x:c r="M9" s="3" t="str">
        <x:f>IF(ISNUMBER(H9),2-H9,"")</x:f>
      </x:c>
      <x:c r="N9" s="2" t="str">
        <x:v>MP bei Verlängerung 2/0 eintragen</x:v>
      </x:c>
      <x:c r="O9" s="2"/>
      <x:c r="P9" s="2"/>
      <x:c r="Q9" s="2"/>
      <x:c r="R9" s="2"/>
      <x:c r="S9" s="2"/>
      <x:c r="T9" s="2"/>
      <x:c r="U9" t="str">
        <x:f>IF(AND(ISNUMBER(H5),ISNUMBER(M5),H5&lt;&gt;M5),IF(H5&gt;M5,U5,V5),"")</x:f>
      </x:c>
      <x:c r="V9" t="str">
        <x:f>IF(AND(ISNUMBER(H6),ISNUMBER(M6),H6&lt;&gt;M6),IF(H6&gt;M6,U6,V6),"")</x:f>
      </x:c>
    </x:row>
    <x:row r="10" ht="24" customHeight="1">
      <x:c r="A10" s="2" t="n">
        <x:v>7</x:v>
      </x:c>
      <x:c r="B10" s="2" t="n">
        <x:v>2</x:v>
      </x:c>
      <x:c r="C10" s="2" t="str">
        <x:v>Platz 3–4</x:v>
      </x:c>
      <x:c r="D10" s="2" t="str">
        <x:f>IF(U10="","",INDEX(Teilnehmer!$B$2:$B$10,MATCH(U10,Teilnehmer!$A$2:$A$10,0)))</x:f>
      </x:c>
      <x:c r="E10" s="3"/>
      <x:c r="F10" s="3"/>
      <x:c r="G10" s="3"/>
      <x:c r="H10" s="3" t="str">
        <x:f>IF(AND(ISNUMBER(E10),ISNUMBER(J10),U10&lt;&gt;"",V10&lt;&gt;""),IF(IF(AND(INDEX(Teilnehmer!$F$2:$F$10,MATCH(U10,Teilnehmer!$A$2:$A$10,0))&gt;0,INDEX(Teilnehmer!$F$2:$F$10,MATCH(V10,Teilnehmer!$A$2:$A$10,0))&gt;0),E10/INDEX(Teilnehmer!$F$2:$F$10,MATCH(U10,Teilnehmer!$A$2:$A$10,0)),E10)&gt;IF(AND(INDEX(Teilnehmer!$F$2:$F$10,MATCH(U10,Teilnehmer!$A$2:$A$10,0))&gt;0,INDEX(Teilnehmer!$F$2:$F$10,MATCH(V10,Teilnehmer!$A$2:$A$10,0))&gt;0),J10/INDEX(Teilnehmer!$F$2:$F$10,MATCH(V10,Teilnehmer!$A$2:$A$10,0)),J10),2,IF(IF(AND(INDEX(Teilnehmer!$F$2:$F$10,MATCH(U10,Teilnehmer!$A$2:$A$10,0))&gt;0,INDEX(Teilnehmer!$F$2:$F$10,MATCH(V10,Teilnehmer!$A$2:$A$10,0))&gt;0),E10/INDEX(Teilnehmer!$F$2:$F$10,MATCH(U10,Teilnehmer!$A$2:$A$10,0)),E10)=IF(AND(INDEX(Teilnehmer!$F$2:$F$10,MATCH(U10,Teilnehmer!$A$2:$A$10,0))&gt;0,INDEX(Teilnehmer!$F$2:$F$10,MATCH(V10,Teilnehmer!$A$2:$A$10,0))&gt;0),J10/INDEX(Teilnehmer!$F$2:$F$10,MATCH(V10,Teilnehmer!$A$2:$A$10,0)),J10),1,0)),"")</x:f>
      </x:c>
      <x:c r="I10" s="2" t="str">
        <x:f>IF(V10="","",INDEX(Teilnehmer!$B$2:$B$10,MATCH(V10,Teilnehmer!$A$2:$A$10,0)))</x:f>
      </x:c>
      <x:c r="J10" s="3"/>
      <x:c r="K10" s="3"/>
      <x:c r="L10" s="3"/>
      <x:c r="M10" s="3" t="str">
        <x:f>IF(ISNUMBER(H10),2-H10,"")</x:f>
      </x:c>
      <x:c r="N10" s="2" t="str">
        <x:v>MP bei Verlängerung 2/0 eintragen</x:v>
      </x:c>
      <x:c r="O10" s="2"/>
      <x:c r="P10" s="2"/>
      <x:c r="Q10" s="2"/>
      <x:c r="R10" s="2"/>
      <x:c r="S10" s="2"/>
      <x:c r="T10" s="2"/>
      <x:c r="U10" t="str">
        <x:f>IF(AND(ISNUMBER(H5),ISNUMBER(M5),H5&lt;&gt;M5),IF(H5&lt;M5,U5,V5),"")</x:f>
      </x:c>
      <x:c r="V10" t="str">
        <x:f>IF(AND(ISNUMBER(H6),ISNUMBER(M6),H6&lt;&gt;M6),IF(H6&lt;M6,U6,V6),"")</x:f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4" customHeight="1">
      <x:c r="A13" s="3" t="str">
        <x:v>Platz</x:v>
      </x:c>
      <x:c r="B13" s="3" t="str">
        <x:v>Spieler</x:v>
      </x:c>
      <x:c r="C13" s="3" t="str">
        <x:v>Setzplatz</x:v>
      </x:c>
      <x:c r="D13" s="3" t="str">
        <x:v>Ermittelt aus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4" customHeight="1">
      <x:c r="A14" s="2" t="n">
        <x:v>1</x:v>
      </x:c>
      <x:c r="B14" s="2" t="str">
        <x:f>IF(C14="","",INDEX(Teilnehmer!$B$2:$B$10,MATCH(C14,Teilnehmer!$A$2:$A$10,0)))</x:f>
      </x:c>
      <x:c r="C14" s="2" t="str">
        <x:f>IF(AND(ISNUMBER(H9),ISNUMBER(M9),H9&lt;&gt;M9),IF(H9&gt;M9,U9,V9),"")</x:f>
      </x:c>
      <x:c r="D14" s="2" t="str">
        <x:v>Platzierungsspiel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24" customHeight="1">
      <x:c r="A15" s="2" t="n">
        <x:v>2</x:v>
      </x:c>
      <x:c r="B15" s="2" t="str">
        <x:f>IF(C15="","",INDEX(Teilnehmer!$B$2:$B$10,MATCH(C15,Teilnehmer!$A$2:$A$10,0)))</x:f>
      </x:c>
      <x:c r="C15" s="2" t="str">
        <x:f>IF(AND(ISNUMBER(H9),ISNUMBER(M9),H9&lt;&gt;M9),IF(H9&lt;M9,U9,V9),"")</x:f>
      </x:c>
      <x:c r="D15" s="2" t="str">
        <x:v>Platzierungsspiel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24" customHeight="1">
      <x:c r="A16" s="2" t="n">
        <x:v>3</x:v>
      </x:c>
      <x:c r="B16" s="2" t="str">
        <x:f>IF(C16="","",INDEX(Teilnehmer!$B$2:$B$10,MATCH(C16,Teilnehmer!$A$2:$A$10,0)))</x:f>
      </x:c>
      <x:c r="C16" s="2" t="str">
        <x:f>IF(AND(ISNUMBER(H10),ISNUMBER(M10),H10&lt;&gt;M10),IF(H10&gt;M10,U10,V10),"")</x:f>
      </x:c>
      <x:c r="D16" s="2" t="str">
        <x:v>Platzierungsspiel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24" customHeight="1">
      <x:c r="A17" s="2" t="n">
        <x:v>4</x:v>
      </x:c>
      <x:c r="B17" s="2" t="str">
        <x:f>IF(C17="","",INDEX(Teilnehmer!$B$2:$B$10,MATCH(C17,Teilnehmer!$A$2:$A$10,0)))</x:f>
      </x:c>
      <x:c r="C17" s="2" t="str">
        <x:f>IF(AND(ISNUMBER(H10),ISNUMBER(M10),H10&lt;&gt;M10),IF(H10&lt;M10,U10,V10),"")</x:f>
      </x:c>
      <x:c r="D17" s="2" t="str">
        <x:v>Platzierungsspiel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4" customHeight="1">
      <x:c r="A18" s="2" t="n">
        <x:v>5</x:v>
      </x:c>
      <x:c r="B18" s="2" t="str">
        <x:f>IF(C18="","",INDEX(Teilnehmer!$B$2:$B$10,MATCH(C18,Teilnehmer!$A$2:$A$10,0)))</x:f>
      </x:c>
      <x:c r="C18" s="2" t="str">
        <x:f>IF(AND(ISNUMBER(H7),ISNUMBER(M7),H7&lt;&gt;M7),IF(H7&gt;M7,U7,V7),"")</x:f>
      </x:c>
      <x:c r="D18" s="2" t="str">
        <x:v>Platzierungsspiel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4" customHeight="1">
      <x:c r="A19" s="2" t="n">
        <x:v>6</x:v>
      </x:c>
      <x:c r="B19" s="2" t="str">
        <x:f>IF(C19="","",INDEX(Teilnehmer!$B$2:$B$10,MATCH(C19,Teilnehmer!$A$2:$A$10,0)))</x:f>
      </x:c>
      <x:c r="C19" s="2" t="str">
        <x:f>IF(AND(ISNUMBER(H7),ISNUMBER(M7),H7&lt;&gt;M7),IF(H7&lt;M7,U7,V7),"")</x:f>
      </x:c>
      <x:c r="D19" s="2" t="str">
        <x:v>Platzierungsspiel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4" customHeight="1">
      <x:c r="A20" s="2" t="n">
        <x:v>7</x:v>
      </x:c>
      <x:c r="B20" s="2" t="str">
        <x:f>IF(C20="","",INDEX(Teilnehmer!$B$2:$B$10,MATCH(C20,Teilnehmer!$A$2:$A$10,0)))</x:f>
      </x:c>
      <x:c r="C20" s="2" t="str">
        <x:f>IF(AND(ISNUMBER(H8),ISNUMBER(M8),H8&lt;&gt;M8),IF(H8&gt;M8,U8,V8),"")</x:f>
      </x:c>
      <x:c r="D20" s="2" t="str">
        <x:v>Platzierungsspiel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4" customHeight="1">
      <x:c r="A21" s="2" t="n">
        <x:v>8</x:v>
      </x:c>
      <x:c r="B21" s="2" t="str">
        <x:f>IF(C21="","",INDEX(Teilnehmer!$B$2:$B$10,MATCH(C21,Teilnehmer!$A$2:$A$10,0)))</x:f>
      </x:c>
      <x:c r="C21" s="2" t="str">
        <x:f>IF(AND(ISNUMBER(H8),ISNUMBER(M8),H8&lt;&gt;M8),IF(H8&lt;M8,U8,V8),"")</x:f>
      </x:c>
      <x:c r="D21" s="2" t="str">
        <x:v>Platzierungsspiel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4" customHeight="1">
      <x:c r="A22" s="2" t="n">
        <x:v>9</x:v>
      </x:c>
      <x:c r="B22" s="2" t="str">
        <x:f>IF(C22="","",INDEX(Teilnehmer!$B$2:$B$10,MATCH(C22,Teilnehmer!$A$2:$A$10,0)))</x:f>
      </x:c>
      <x:c r="C22" s="2" t="str">
        <x:f>IF(COUNTIF(Teilnehmer!$P$2:$P$10,"B5")=1,INDEX(Teilnehmer!$A$2:$A$10,MATCH("B5",Teilnehmer!$P$2:$P$10,0)),"")</x:f>
      </x:c>
      <x:c r="D22" s="2" t="str">
        <x:v>Fünfter Gruppe B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4" customHeight="1">
      <x:c r="A25" s="3" t="str">
        <x:v>Runde</x:v>
      </x:c>
      <x:c r="B25" s="3" t="str">
        <x:v>Tisch 1</x:v>
      </x:c>
      <x:c r="C25" s="3" t="str">
        <x:v>Tisch 2</x:v>
      </x:c>
      <x:c r="D25" s="3" t="str">
        <x:v>Tisch 3</x:v>
      </x:c>
      <x:c r="E25" s="3" t="str">
        <x:v>Tisch 4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42" customHeight="1">
      <x:c r="A26" s="2" t="n">
        <x:v>1</x:v>
      </x:c>
      <x:c r="B26" s="40" t="str">
        <x:v>A1 – A4</x:v>
      </x:c>
      <x:c r="C26" s="40" t="str">
        <x:v>A2 – A3</x:v>
      </x:c>
      <x:c r="D26" s="40" t="str">
        <x:v>B2 – B4</x:v>
      </x:c>
      <x:c r="E26" s="40" t="str">
        <x:v>B1 – B5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42" customHeight="1">
      <x:c r="A27" s="2" t="n">
        <x:v>2</x:v>
      </x:c>
      <x:c r="B27" s="40" t="str">
        <x:v>A1 – A3</x:v>
      </x:c>
      <x:c r="C27" s="40" t="str">
        <x:v>A2 – A4</x:v>
      </x:c>
      <x:c r="D27" s="40" t="str">
        <x:v>B1 – B4</x:v>
      </x:c>
      <x:c r="E27" s="40" t="str">
        <x:v>B2 – B3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42" customHeight="1">
      <x:c r="A28" s="2" t="n">
        <x:v>3</x:v>
      </x:c>
      <x:c r="B28" s="40" t="str">
        <x:v>A1 – A2</x:v>
      </x:c>
      <x:c r="C28" s="40" t="str">
        <x:v>A3 – A4</x:v>
      </x:c>
      <x:c r="D28" s="40" t="str">
        <x:v>B2 – B5</x:v>
      </x:c>
      <x:c r="E28" s="40" t="str">
        <x:v>B3 – B4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42" customHeight="1">
      <x:c r="A29" s="2" t="n">
        <x:v>4</x:v>
      </x:c>
      <x:c r="B29" s="40" t="str">
        <x:v>Frei</x:v>
      </x:c>
      <x:c r="C29" s="40" t="str">
        <x:v>Frei</x:v>
      </x:c>
      <x:c r="D29" s="40" t="str">
        <x:v>B1 – B3</x:v>
      </x:c>
      <x:c r="E29" s="40" t="str">
        <x:v>B4 – B5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42" customHeight="1">
      <x:c r="A30" s="2" t="n">
        <x:v>5</x:v>
      </x:c>
      <x:c r="B30" s="40" t="str">
        <x:v>Frei</x:v>
      </x:c>
      <x:c r="C30" s="40" t="str">
        <x:v>Frei</x:v>
      </x:c>
      <x:c r="D30" s="40" t="str">
        <x:v>B3 – B5</x:v>
      </x:c>
      <x:c r="E30" s="40" t="str">
        <x:v>B1 – B2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42" customHeight="1">
      <x:c r="A31" s="2" t="n">
        <x:v>6</x:v>
      </x:c>
      <x:c r="B31" s="40" t="str">
        <x:v>HF1</x:v>
      </x:c>
      <x:c r="C31" s="40" t="str">
        <x:v>HF2</x:v>
      </x:c>
      <x:c r="D31" s="40" t="str">
        <x:v>Platz 5–6</x:v>
      </x:c>
      <x:c r="E31" s="40" t="str">
        <x:v>Platz 7–8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42" customHeight="1">
      <x:c r="A32" s="2" t="n">
        <x:v>7</x:v>
      </x:c>
      <x:c r="B32" s="40" t="str">
        <x:v>Finale</x:v>
      </x:c>
      <x:c r="C32" s="40" t="str">
        <x:v>Platz 3–4</x:v>
      </x:c>
      <x:c r="D32" s="40" t="str">
        <x:v>Frei</x:v>
      </x:c>
      <x:c r="E32" s="40" t="str">
        <x:v>Frei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</x:sheetData>
  <x:mergeCells>
    <x:mergeCell ref="D1:P1"/>
    <x:mergeCell ref="S1:T1"/>
    <x:mergeCell ref="S2:T2"/>
  </x:mergeCells>
  <x:pageMargins left="0.2" right="0.2" top="0.3" bottom="0.3" header="0.1" footer="0.1"/>
  <x:pageSetup paperSize="9" orientation="landscape" fitToWidth="1" fitToHeight="1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3" hidden="0" customWidth="1"/>
    <x:col min="4" max="4" width="2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40" customHeight="1">
      <x:c r="A1" s="9" t="str">
        <x:v>Setzposition</x:v>
      </x:c>
      <x:c r="B1" s="9" t="str">
        <x:v>Spieler</x:v>
      </x:c>
      <x:c r="C1" s="9" t="str">
        <x:v>Passnummer</x:v>
      </x:c>
      <x:c r="D1" s="9" t="str">
        <x:v>Verein</x:v>
      </x:c>
      <x:c r="E1" s="9" t="str">
        <x:v>GD Setzliste</x:v>
      </x:c>
      <x:c r="F1" s="9" t="str">
        <x:v>Ballvorgabe</x:v>
      </x:c>
      <x:c r="G1" s="9" t="str">
        <x:v>Gruppe</x:v>
      </x:c>
      <x:c r="H1" s="9" t="str">
        <x:v>Pos.</x:v>
      </x:c>
      <x:c r="I1" s="9" t="str">
        <x:v>Partiepunkte</x:v>
      </x:c>
      <x:c r="J1" s="9" t="str">
        <x:v>Bälle</x:v>
      </x:c>
      <x:c r="K1" s="9" t="str">
        <x:v>Aufnahmen</x:v>
      </x:c>
      <x:c r="L1" s="9" t="str">
        <x:v>GD</x:v>
      </x:c>
      <x:c r="M1" s="9" t="str">
        <x:v>HS</x:v>
      </x:c>
      <x:c r="N1" s="9" t="str">
        <x:v>Rang</x:v>
      </x:c>
      <x:c r="O1" s="9" t="str">
        <x:v>Rang manuell</x:v>
      </x:c>
      <x:c r="P1" s="9" t="str">
        <x:v>Gruppenplatz</x:v>
      </x:c>
      <x:c r="Q1" s="2"/>
      <x:c r="R1" s="2"/>
      <x:c r="S1" s="2"/>
      <x:c r="T1" s="2"/>
    </x:row>
    <x:row r="2" ht="24" customHeight="1">
      <x:c r="A2" s="2" t="n">
        <x:v>1</x:v>
      </x:c>
      <x:c r="B2" s="3" t="str"/>
      <x:c r="C2" s="3" t="str"/>
      <x:c r="D2" s="3" t="str"/>
      <x:c r="E2" s="38"/>
      <x:c r="F2" s="3"/>
      <x:c r="G2" s="2" t="str">
        <x:v>A</x:v>
      </x:c>
      <x:c r="H2" s="2" t="n">
        <x:v>1</x:v>
      </x:c>
      <x:c r="I2" s="2" t="str">
        <x:f>IF(ISNUMBER('Gruppe A'!N4),'Gruppe A'!N4,"")</x:f>
      </x:c>
      <x:c r="J2" s="2" t="str">
        <x:f>IF(ISNUMBER('Gruppe A'!O4),'Gruppe A'!O4,"")</x:f>
      </x:c>
      <x:c r="K2" s="2" t="str">
        <x:f>IF(ISNUMBER('Gruppe A'!P4),'Gruppe A'!P4,"")</x:f>
      </x:c>
      <x:c r="L2" s="39" t="str">
        <x:f>IF(ISNUMBER('Gruppe A'!R4),'Gruppe A'!R4,"")</x:f>
      </x:c>
      <x:c r="M2" s="2" t="str">
        <x:f>IF(ISNUMBER('Gruppe A'!S4),'Gruppe A'!S4,"")</x:f>
      </x:c>
      <x:c r="N2" s="2" t="str">
        <x:f>IF(ISNUMBER('Gruppe A'!T4),'Gruppe A'!T4,"")</x:f>
      </x:c>
      <x:c r="O2" s="3"/>
      <x:c r="P2" s="2" t="str">
        <x:f>IF(ISNUMBER(N2),G2&amp;N2,"")</x:f>
      </x:c>
      <x:c r="Q2" s="2"/>
      <x:c r="R2" s="2"/>
      <x:c r="S2" s="2"/>
      <x:c r="T2" s="2"/>
    </x:row>
    <x:row r="3" ht="24" customHeight="1">
      <x:c r="A3" s="2" t="n">
        <x:v>2</x:v>
      </x:c>
      <x:c r="B3" s="3" t="str"/>
      <x:c r="C3" s="3" t="str"/>
      <x:c r="D3" s="3" t="str"/>
      <x:c r="E3" s="38"/>
      <x:c r="F3" s="3"/>
      <x:c r="G3" s="2" t="str">
        <x:v>B</x:v>
      </x:c>
      <x:c r="H3" s="2" t="n">
        <x:v>1</x:v>
      </x:c>
      <x:c r="I3" s="2" t="str">
        <x:f>IF(ISNUMBER('Gruppe B'!N4),'Gruppe B'!N4,"")</x:f>
      </x:c>
      <x:c r="J3" s="2" t="str">
        <x:f>IF(ISNUMBER('Gruppe B'!O4),'Gruppe B'!O4,"")</x:f>
      </x:c>
      <x:c r="K3" s="2" t="str">
        <x:f>IF(ISNUMBER('Gruppe B'!P4),'Gruppe B'!P4,"")</x:f>
      </x:c>
      <x:c r="L3" s="39" t="str">
        <x:f>IF(ISNUMBER('Gruppe B'!R4),'Gruppe B'!R4,"")</x:f>
      </x:c>
      <x:c r="M3" s="2" t="str">
        <x:f>IF(ISNUMBER('Gruppe B'!S4),'Gruppe B'!S4,"")</x:f>
      </x:c>
      <x:c r="N3" s="2" t="str">
        <x:f>IF(ISNUMBER('Gruppe B'!T4),'Gruppe B'!T4,"")</x:f>
      </x:c>
      <x:c r="O3" s="3"/>
      <x:c r="P3" s="2" t="str">
        <x:f>IF(ISNUMBER(N3),G3&amp;N3,"")</x:f>
      </x:c>
      <x:c r="Q3" s="2"/>
      <x:c r="R3" s="2"/>
      <x:c r="S3" s="2"/>
      <x:c r="T3" s="2"/>
    </x:row>
    <x:row r="4" ht="24" customHeight="1">
      <x:c r="A4" s="2" t="n">
        <x:v>3</x:v>
      </x:c>
      <x:c r="B4" s="3" t="str"/>
      <x:c r="C4" s="3" t="str"/>
      <x:c r="D4" s="3" t="str"/>
      <x:c r="E4" s="38"/>
      <x:c r="F4" s="3"/>
      <x:c r="G4" s="2" t="str">
        <x:v>B</x:v>
      </x:c>
      <x:c r="H4" s="2" t="n">
        <x:v>2</x:v>
      </x:c>
      <x:c r="I4" s="2" t="str">
        <x:f>IF(ISNUMBER('Gruppe B'!N7),'Gruppe B'!N7,"")</x:f>
      </x:c>
      <x:c r="J4" s="2" t="str">
        <x:f>IF(ISNUMBER('Gruppe B'!O7),'Gruppe B'!O7,"")</x:f>
      </x:c>
      <x:c r="K4" s="2" t="str">
        <x:f>IF(ISNUMBER('Gruppe B'!P7),'Gruppe B'!P7,"")</x:f>
      </x:c>
      <x:c r="L4" s="39" t="str">
        <x:f>IF(ISNUMBER('Gruppe B'!R7),'Gruppe B'!R7,"")</x:f>
      </x:c>
      <x:c r="M4" s="2" t="str">
        <x:f>IF(ISNUMBER('Gruppe B'!S7),'Gruppe B'!S7,"")</x:f>
      </x:c>
      <x:c r="N4" s="2" t="str">
        <x:f>IF(ISNUMBER('Gruppe B'!T7),'Gruppe B'!T7,"")</x:f>
      </x:c>
      <x:c r="O4" s="3"/>
      <x:c r="P4" s="2" t="str">
        <x:f>IF(ISNUMBER(N4),G4&amp;N4,"")</x:f>
      </x:c>
      <x:c r="Q4" s="2"/>
      <x:c r="R4" s="2"/>
      <x:c r="S4" s="2"/>
      <x:c r="T4" s="2"/>
    </x:row>
    <x:row r="5" ht="24" customHeight="1">
      <x:c r="A5" s="2" t="n">
        <x:v>4</x:v>
      </x:c>
      <x:c r="B5" s="3" t="str"/>
      <x:c r="C5" s="3" t="str"/>
      <x:c r="D5" s="3" t="str"/>
      <x:c r="E5" s="38"/>
      <x:c r="F5" s="3"/>
      <x:c r="G5" s="2" t="str">
        <x:v>A</x:v>
      </x:c>
      <x:c r="H5" s="2" t="n">
        <x:v>2</x:v>
      </x:c>
      <x:c r="I5" s="2" t="str">
        <x:f>IF(ISNUMBER('Gruppe A'!N7),'Gruppe A'!N7,"")</x:f>
      </x:c>
      <x:c r="J5" s="2" t="str">
        <x:f>IF(ISNUMBER('Gruppe A'!O7),'Gruppe A'!O7,"")</x:f>
      </x:c>
      <x:c r="K5" s="2" t="str">
        <x:f>IF(ISNUMBER('Gruppe A'!P7),'Gruppe A'!P7,"")</x:f>
      </x:c>
      <x:c r="L5" s="39" t="str">
        <x:f>IF(ISNUMBER('Gruppe A'!R7),'Gruppe A'!R7,"")</x:f>
      </x:c>
      <x:c r="M5" s="2" t="str">
        <x:f>IF(ISNUMBER('Gruppe A'!S7),'Gruppe A'!S7,"")</x:f>
      </x:c>
      <x:c r="N5" s="2" t="str">
        <x:f>IF(ISNUMBER('Gruppe A'!T7),'Gruppe A'!T7,"")</x:f>
      </x:c>
      <x:c r="O5" s="3"/>
      <x:c r="P5" s="2" t="str">
        <x:f>IF(ISNUMBER(N5),G5&amp;N5,"")</x:f>
      </x:c>
      <x:c r="Q5" s="2"/>
      <x:c r="R5" s="2"/>
      <x:c r="S5" s="2"/>
      <x:c r="T5" s="2"/>
    </x:row>
    <x:row r="6" ht="24" customHeight="1">
      <x:c r="A6" s="2" t="n">
        <x:v>5</x:v>
      </x:c>
      <x:c r="B6" s="3" t="str"/>
      <x:c r="C6" s="3" t="str"/>
      <x:c r="D6" s="3" t="str"/>
      <x:c r="E6" s="38"/>
      <x:c r="F6" s="3"/>
      <x:c r="G6" s="2" t="str">
        <x:v>A</x:v>
      </x:c>
      <x:c r="H6" s="2" t="n">
        <x:v>3</x:v>
      </x:c>
      <x:c r="I6" s="2" t="str">
        <x:f>IF(ISNUMBER('Gruppe A'!N10),'Gruppe A'!N10,"")</x:f>
      </x:c>
      <x:c r="J6" s="2" t="str">
        <x:f>IF(ISNUMBER('Gruppe A'!O10),'Gruppe A'!O10,"")</x:f>
      </x:c>
      <x:c r="K6" s="2" t="str">
        <x:f>IF(ISNUMBER('Gruppe A'!P10),'Gruppe A'!P10,"")</x:f>
      </x:c>
      <x:c r="L6" s="39" t="str">
        <x:f>IF(ISNUMBER('Gruppe A'!R10),'Gruppe A'!R10,"")</x:f>
      </x:c>
      <x:c r="M6" s="2" t="str">
        <x:f>IF(ISNUMBER('Gruppe A'!S10),'Gruppe A'!S10,"")</x:f>
      </x:c>
      <x:c r="N6" s="2" t="str">
        <x:f>IF(ISNUMBER('Gruppe A'!T10),'Gruppe A'!T10,"")</x:f>
      </x:c>
      <x:c r="O6" s="3"/>
      <x:c r="P6" s="2" t="str">
        <x:f>IF(ISNUMBER(N6),G6&amp;N6,"")</x:f>
      </x:c>
      <x:c r="Q6" s="2"/>
      <x:c r="R6" s="2"/>
      <x:c r="S6" s="2"/>
      <x:c r="T6" s="2"/>
    </x:row>
    <x:row r="7" ht="24" customHeight="1">
      <x:c r="A7" s="2" t="n">
        <x:v>6</x:v>
      </x:c>
      <x:c r="B7" s="3" t="str"/>
      <x:c r="C7" s="3" t="str"/>
      <x:c r="D7" s="3" t="str"/>
      <x:c r="E7" s="38"/>
      <x:c r="F7" s="3"/>
      <x:c r="G7" s="2" t="str">
        <x:v>B</x:v>
      </x:c>
      <x:c r="H7" s="2" t="n">
        <x:v>3</x:v>
      </x:c>
      <x:c r="I7" s="2" t="str">
        <x:f>IF(ISNUMBER('Gruppe B'!N10),'Gruppe B'!N10,"")</x:f>
      </x:c>
      <x:c r="J7" s="2" t="str">
        <x:f>IF(ISNUMBER('Gruppe B'!O10),'Gruppe B'!O10,"")</x:f>
      </x:c>
      <x:c r="K7" s="2" t="str">
        <x:f>IF(ISNUMBER('Gruppe B'!P10),'Gruppe B'!P10,"")</x:f>
      </x:c>
      <x:c r="L7" s="39" t="str">
        <x:f>IF(ISNUMBER('Gruppe B'!R10),'Gruppe B'!R10,"")</x:f>
      </x:c>
      <x:c r="M7" s="2" t="str">
        <x:f>IF(ISNUMBER('Gruppe B'!S10),'Gruppe B'!S10,"")</x:f>
      </x:c>
      <x:c r="N7" s="2" t="str">
        <x:f>IF(ISNUMBER('Gruppe B'!T10),'Gruppe B'!T10,"")</x:f>
      </x:c>
      <x:c r="O7" s="3"/>
      <x:c r="P7" s="2" t="str">
        <x:f>IF(ISNUMBER(N7),G7&amp;N7,"")</x:f>
      </x:c>
      <x:c r="Q7" s="2"/>
      <x:c r="R7" s="2"/>
      <x:c r="S7" s="2"/>
      <x:c r="T7" s="2"/>
    </x:row>
    <x:row r="8" ht="24" customHeight="1">
      <x:c r="A8" s="2" t="n">
        <x:v>7</x:v>
      </x:c>
      <x:c r="B8" s="3" t="str"/>
      <x:c r="C8" s="3" t="str"/>
      <x:c r="D8" s="3" t="str"/>
      <x:c r="E8" s="38"/>
      <x:c r="F8" s="3"/>
      <x:c r="G8" s="2" t="str">
        <x:v>B</x:v>
      </x:c>
      <x:c r="H8" s="2" t="n">
        <x:v>4</x:v>
      </x:c>
      <x:c r="I8" s="2" t="str">
        <x:f>IF(ISNUMBER('Gruppe B'!N13),'Gruppe B'!N13,"")</x:f>
      </x:c>
      <x:c r="J8" s="2" t="str">
        <x:f>IF(ISNUMBER('Gruppe B'!O13),'Gruppe B'!O13,"")</x:f>
      </x:c>
      <x:c r="K8" s="2" t="str">
        <x:f>IF(ISNUMBER('Gruppe B'!P13),'Gruppe B'!P13,"")</x:f>
      </x:c>
      <x:c r="L8" s="39" t="str">
        <x:f>IF(ISNUMBER('Gruppe B'!R13),'Gruppe B'!R13,"")</x:f>
      </x:c>
      <x:c r="M8" s="2" t="str">
        <x:f>IF(ISNUMBER('Gruppe B'!S13),'Gruppe B'!S13,"")</x:f>
      </x:c>
      <x:c r="N8" s="2" t="str">
        <x:f>IF(ISNUMBER('Gruppe B'!T13),'Gruppe B'!T13,"")</x:f>
      </x:c>
      <x:c r="O8" s="3"/>
      <x:c r="P8" s="2" t="str">
        <x:f>IF(ISNUMBER(N8),G8&amp;N8,"")</x:f>
      </x:c>
      <x:c r="Q8" s="2"/>
      <x:c r="R8" s="2"/>
      <x:c r="S8" s="2"/>
      <x:c r="T8" s="2"/>
    </x:row>
    <x:row r="9" ht="24" customHeight="1">
      <x:c r="A9" s="2" t="n">
        <x:v>8</x:v>
      </x:c>
      <x:c r="B9" s="3" t="str"/>
      <x:c r="C9" s="3" t="str"/>
      <x:c r="D9" s="3" t="str"/>
      <x:c r="E9" s="38"/>
      <x:c r="F9" s="3"/>
      <x:c r="G9" s="2" t="str">
        <x:v>A</x:v>
      </x:c>
      <x:c r="H9" s="2" t="n">
        <x:v>4</x:v>
      </x:c>
      <x:c r="I9" s="2" t="str">
        <x:f>IF(ISNUMBER('Gruppe A'!N13),'Gruppe A'!N13,"")</x:f>
      </x:c>
      <x:c r="J9" s="2" t="str">
        <x:f>IF(ISNUMBER('Gruppe A'!O13),'Gruppe A'!O13,"")</x:f>
      </x:c>
      <x:c r="K9" s="2" t="str">
        <x:f>IF(ISNUMBER('Gruppe A'!P13),'Gruppe A'!P13,"")</x:f>
      </x:c>
      <x:c r="L9" s="39" t="str">
        <x:f>IF(ISNUMBER('Gruppe A'!R13),'Gruppe A'!R13,"")</x:f>
      </x:c>
      <x:c r="M9" s="2" t="str">
        <x:f>IF(ISNUMBER('Gruppe A'!S13),'Gruppe A'!S13,"")</x:f>
      </x:c>
      <x:c r="N9" s="2" t="str">
        <x:f>IF(ISNUMBER('Gruppe A'!T13),'Gruppe A'!T13,"")</x:f>
      </x:c>
      <x:c r="O9" s="3"/>
      <x:c r="P9" s="2" t="str">
        <x:f>IF(ISNUMBER(N9),G9&amp;N9,"")</x:f>
      </x:c>
      <x:c r="Q9" s="2"/>
      <x:c r="R9" s="2"/>
      <x:c r="S9" s="2"/>
      <x:c r="T9" s="2"/>
    </x:row>
    <x:row r="10" ht="24" customHeight="1">
      <x:c r="A10" s="2" t="n">
        <x:v>9</x:v>
      </x:c>
      <x:c r="B10" s="3" t="str"/>
      <x:c r="C10" s="3" t="str"/>
      <x:c r="D10" s="3" t="str"/>
      <x:c r="E10" s="38"/>
      <x:c r="F10" s="3"/>
      <x:c r="G10" s="2" t="str">
        <x:v>B</x:v>
      </x:c>
      <x:c r="H10" s="2" t="n">
        <x:v>5</x:v>
      </x:c>
      <x:c r="I10" s="2" t="str">
        <x:f>IF(ISNUMBER('Gruppe B'!N16),'Gruppe B'!N16,"")</x:f>
      </x:c>
      <x:c r="J10" s="2" t="str">
        <x:f>IF(ISNUMBER('Gruppe B'!O16),'Gruppe B'!O16,"")</x:f>
      </x:c>
      <x:c r="K10" s="2" t="str">
        <x:f>IF(ISNUMBER('Gruppe B'!P16),'Gruppe B'!P16,"")</x:f>
      </x:c>
      <x:c r="L10" s="39" t="str">
        <x:f>IF(ISNUMBER('Gruppe B'!R16),'Gruppe B'!R16,"")</x:f>
      </x:c>
      <x:c r="M10" s="2" t="str">
        <x:f>IF(ISNUMBER('Gruppe B'!S16),'Gruppe B'!S16,"")</x:f>
      </x:c>
      <x:c r="N10" s="2" t="str">
        <x:f>IF(ISNUMBER('Gruppe B'!T16),'Gruppe B'!T16,"")</x:f>
      </x:c>
      <x:c r="O10" s="3"/>
      <x:c r="P10" s="2" t="str">
        <x:f>IF(ISNUMBER(N10),G10&amp;N10,"")</x:f>
      </x:c>
      <x:c r="Q10" s="2"/>
      <x:c r="R10" s="2"/>
      <x:c r="S10" s="2"/>
      <x:c r="T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4" customHeight="1">
      <x:c r="A12" s="2" t="str">
        <x:v>Rang: Partiepunkte, dann GD. Direkten Vergleich/BED und Vorgabewertung bei Bedarf prüfen und Rang manuell festlegen.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</x:sheetData>
  <x:mergeCells>
    <x:mergeCell ref="A12:P12"/>
  </x:mergeCells>
  <x:pageMargins left="0.2" right="0.2" top="0.3" bottom="0.3" header="0.1" footer="0.1"/>
  <x:pageSetup paperSize="9" orientation="landscape" fitToWidth="1" fitToHeight="1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44" customHeight="1">
      <x:c r="A1" s="9" t="str">
        <x:v>GRUPPE/RUNDE</x:v>
      </x:c>
      <x:c r="B1" s="9" t="str">
        <x:v>PARTIE</x:v>
      </x:c>
      <x:c r="C1" s="9" t="str">
        <x:v>SATZ-NR.</x:v>
      </x:c>
      <x:c r="D1" s="9" t="str">
        <x:v>PASS-NR. SPIELER 1</x:v>
      </x:c>
      <x:c r="E1" s="9" t="str">
        <x:v>PASS-NR. SPIELER 2</x:v>
      </x:c>
      <x:c r="F1" s="9" t="str">
        <x:v>PUNKTE SPIELER 1</x:v>
      </x:c>
      <x:c r="G1" s="9" t="str">
        <x:v>PUNKTE SPIELER 2</x:v>
      </x:c>
      <x:c r="H1" s="9" t="str">
        <x:v>AUFNAHMEN SPIELER 1</x:v>
      </x:c>
      <x:c r="I1" s="9" t="str">
        <x:v>AUFNAHMEN SPIELER 2</x:v>
      </x:c>
      <x:c r="J1" s="9" t="str">
        <x:v>HÖCHSTSERIE SPIELER 1</x:v>
      </x:c>
      <x:c r="K1" s="9" t="str">
        <x:v>HÖCHSTSERIE SPIELER 2</x:v>
      </x:c>
      <x:c r="L1" s="9" t="str">
        <x:v>DATUM</x:v>
      </x:c>
      <x:c r="M1" s="9" t="str">
        <x:v>UHRZEIT</x:v>
      </x:c>
      <x:c r="N1" s="2"/>
      <x:c r="O1" s="2"/>
      <x:c r="P1" s="2"/>
      <x:c r="Q1" s="2"/>
      <x:c r="R1" s="2"/>
      <x:c r="S1" s="2"/>
      <x:c r="T1" s="2"/>
    </x:row>
    <x:row r="2" ht="24" customHeight="1">
      <x:c r="A2" s="2" t="str">
        <x:v>Gruppe A</x:v>
      </x:c>
      <x:c r="B2" s="2" t="n">
        <x:v>1</x:v>
      </x:c>
      <x:c r="C2" s="2" t="n">
        <x:v>1</x:v>
      </x:c>
      <x:c r="D2" s="2" t="str">
        <x:f>IF(Teilnehmer!C2="","",Teilnehmer!C2)</x:f>
      </x:c>
      <x:c r="E2" s="2" t="str">
        <x:f>IF(Teilnehmer!C5="","",Teilnehmer!C5)</x:f>
      </x:c>
      <x:c r="F2" s="2" t="str">
        <x:f>IF(ISNUMBER('Gruppe A'!D4),'Gruppe A'!D4,"")</x:f>
      </x:c>
      <x:c r="G2" s="2" t="str">
        <x:f>IF(ISNUMBER('Gruppe A'!B7),'Gruppe A'!B7,"")</x:f>
      </x:c>
      <x:c r="H2" s="2" t="str">
        <x:f>IF(ISNUMBER('Gruppe A'!E4),'Gruppe A'!E4,"")</x:f>
      </x:c>
      <x:c r="I2" s="2" t="str">
        <x:f>IF(ISNUMBER('Gruppe A'!C7),'Gruppe A'!C7,"")</x:f>
      </x:c>
      <x:c r="J2" s="2" t="str">
        <x:f>IF(ISNUMBER('Gruppe A'!E6),'Gruppe A'!E6,"")</x:f>
      </x:c>
      <x:c r="K2" s="2" t="str">
        <x:f>IF(ISNUMBER('Gruppe A'!C9),'Gruppe A'!C9,"")</x:f>
      </x:c>
      <x:c r="L2" s="6" t="str">
        <x:f>IF(ISNUMBER('Gruppe A'!S2),'Gruppe A'!S2,"")</x:f>
      </x:c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Gruppe A</x:v>
      </x:c>
      <x:c r="B3" s="2" t="n">
        <x:v>2</x:v>
      </x:c>
      <x:c r="C3" s="2" t="n">
        <x:v>1</x:v>
      </x:c>
      <x:c r="D3" s="2" t="str">
        <x:f>IF(Teilnehmer!C2="","",Teilnehmer!C2)</x:f>
      </x:c>
      <x:c r="E3" s="2" t="str">
        <x:f>IF(Teilnehmer!C6="","",Teilnehmer!C6)</x:f>
      </x:c>
      <x:c r="F3" s="2" t="str">
        <x:f>IF(ISNUMBER('Gruppe A'!F4),'Gruppe A'!F4,"")</x:f>
      </x:c>
      <x:c r="G3" s="2" t="str">
        <x:f>IF(ISNUMBER('Gruppe A'!B10),'Gruppe A'!B10,"")</x:f>
      </x:c>
      <x:c r="H3" s="2" t="str">
        <x:f>IF(ISNUMBER('Gruppe A'!G4),'Gruppe A'!G4,"")</x:f>
      </x:c>
      <x:c r="I3" s="2" t="str">
        <x:f>IF(ISNUMBER('Gruppe A'!C10),'Gruppe A'!C10,"")</x:f>
      </x:c>
      <x:c r="J3" s="2" t="str">
        <x:f>IF(ISNUMBER('Gruppe A'!G6),'Gruppe A'!G6,"")</x:f>
      </x:c>
      <x:c r="K3" s="2" t="str">
        <x:f>IF(ISNUMBER('Gruppe A'!C12),'Gruppe A'!C12,"")</x:f>
      </x:c>
      <x:c r="L3" s="6" t="str">
        <x:f>IF(ISNUMBER('Gruppe A'!S2),'Gruppe A'!S2,"")</x:f>
      </x:c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 t="str">
        <x:v>Gruppe A</x:v>
      </x:c>
      <x:c r="B4" s="2" t="n">
        <x:v>3</x:v>
      </x:c>
      <x:c r="C4" s="2" t="n">
        <x:v>1</x:v>
      </x:c>
      <x:c r="D4" s="2" t="str">
        <x:f>IF(Teilnehmer!C2="","",Teilnehmer!C2)</x:f>
      </x:c>
      <x:c r="E4" s="2" t="str">
        <x:f>IF(Teilnehmer!C9="","",Teilnehmer!C9)</x:f>
      </x:c>
      <x:c r="F4" s="2" t="str">
        <x:f>IF(ISNUMBER('Gruppe A'!H4),'Gruppe A'!H4,"")</x:f>
      </x:c>
      <x:c r="G4" s="2" t="str">
        <x:f>IF(ISNUMBER('Gruppe A'!B13),'Gruppe A'!B13,"")</x:f>
      </x:c>
      <x:c r="H4" s="2" t="str">
        <x:f>IF(ISNUMBER('Gruppe A'!I4),'Gruppe A'!I4,"")</x:f>
      </x:c>
      <x:c r="I4" s="2" t="str">
        <x:f>IF(ISNUMBER('Gruppe A'!C13),'Gruppe A'!C13,"")</x:f>
      </x:c>
      <x:c r="J4" s="2" t="str">
        <x:f>IF(ISNUMBER('Gruppe A'!I6),'Gruppe A'!I6,"")</x:f>
      </x:c>
      <x:c r="K4" s="2" t="str">
        <x:f>IF(ISNUMBER('Gruppe A'!C15),'Gruppe A'!C15,"")</x:f>
      </x:c>
      <x:c r="L4" s="6" t="str">
        <x:f>IF(ISNUMBER('Gruppe A'!S2),'Gruppe A'!S2,"")</x:f>
      </x:c>
      <x:c r="M4" s="2"/>
      <x:c r="N4" s="2"/>
      <x:c r="O4" s="2"/>
      <x:c r="P4" s="2"/>
      <x:c r="Q4" s="2"/>
      <x:c r="R4" s="2"/>
      <x:c r="S4" s="2"/>
      <x:c r="T4" s="2"/>
    </x:row>
    <x:row r="5" ht="24" customHeight="1">
      <x:c r="A5" s="2" t="str">
        <x:v>Gruppe A</x:v>
      </x:c>
      <x:c r="B5" s="2" t="n">
        <x:v>4</x:v>
      </x:c>
      <x:c r="C5" s="2" t="n">
        <x:v>1</x:v>
      </x:c>
      <x:c r="D5" s="2" t="str">
        <x:f>IF(Teilnehmer!C5="","",Teilnehmer!C5)</x:f>
      </x:c>
      <x:c r="E5" s="2" t="str">
        <x:f>IF(Teilnehmer!C6="","",Teilnehmer!C6)</x:f>
      </x:c>
      <x:c r="F5" s="2" t="str">
        <x:f>IF(ISNUMBER('Gruppe A'!F7),'Gruppe A'!F7,"")</x:f>
      </x:c>
      <x:c r="G5" s="2" t="str">
        <x:f>IF(ISNUMBER('Gruppe A'!D10),'Gruppe A'!D10,"")</x:f>
      </x:c>
      <x:c r="H5" s="2" t="str">
        <x:f>IF(ISNUMBER('Gruppe A'!G7),'Gruppe A'!G7,"")</x:f>
      </x:c>
      <x:c r="I5" s="2" t="str">
        <x:f>IF(ISNUMBER('Gruppe A'!E10),'Gruppe A'!E10,"")</x:f>
      </x:c>
      <x:c r="J5" s="2" t="str">
        <x:f>IF(ISNUMBER('Gruppe A'!G9),'Gruppe A'!G9,"")</x:f>
      </x:c>
      <x:c r="K5" s="2" t="str">
        <x:f>IF(ISNUMBER('Gruppe A'!E12),'Gruppe A'!E12,"")</x:f>
      </x:c>
      <x:c r="L5" s="6" t="str">
        <x:f>IF(ISNUMBER('Gruppe A'!S2),'Gruppe A'!S2,"")</x:f>
      </x:c>
      <x:c r="M5" s="2"/>
      <x:c r="N5" s="2"/>
      <x:c r="O5" s="2"/>
      <x:c r="P5" s="2"/>
      <x:c r="Q5" s="2"/>
      <x:c r="R5" s="2"/>
      <x:c r="S5" s="2"/>
      <x:c r="T5" s="2"/>
    </x:row>
    <x:row r="6" ht="24" customHeight="1">
      <x:c r="A6" s="2" t="str">
        <x:v>Gruppe A</x:v>
      </x:c>
      <x:c r="B6" s="2" t="n">
        <x:v>5</x:v>
      </x:c>
      <x:c r="C6" s="2" t="n">
        <x:v>1</x:v>
      </x:c>
      <x:c r="D6" s="2" t="str">
        <x:f>IF(Teilnehmer!C5="","",Teilnehmer!C5)</x:f>
      </x:c>
      <x:c r="E6" s="2" t="str">
        <x:f>IF(Teilnehmer!C9="","",Teilnehmer!C9)</x:f>
      </x:c>
      <x:c r="F6" s="2" t="str">
        <x:f>IF(ISNUMBER('Gruppe A'!H7),'Gruppe A'!H7,"")</x:f>
      </x:c>
      <x:c r="G6" s="2" t="str">
        <x:f>IF(ISNUMBER('Gruppe A'!D13),'Gruppe A'!D13,"")</x:f>
      </x:c>
      <x:c r="H6" s="2" t="str">
        <x:f>IF(ISNUMBER('Gruppe A'!I7),'Gruppe A'!I7,"")</x:f>
      </x:c>
      <x:c r="I6" s="2" t="str">
        <x:f>IF(ISNUMBER('Gruppe A'!E13),'Gruppe A'!E13,"")</x:f>
      </x:c>
      <x:c r="J6" s="2" t="str">
        <x:f>IF(ISNUMBER('Gruppe A'!I9),'Gruppe A'!I9,"")</x:f>
      </x:c>
      <x:c r="K6" s="2" t="str">
        <x:f>IF(ISNUMBER('Gruppe A'!E15),'Gruppe A'!E15,"")</x:f>
      </x:c>
      <x:c r="L6" s="6" t="str">
        <x:f>IF(ISNUMBER('Gruppe A'!S2),'Gruppe A'!S2,"")</x:f>
      </x:c>
      <x:c r="M6" s="2"/>
      <x:c r="N6" s="2"/>
      <x:c r="O6" s="2"/>
      <x:c r="P6" s="2"/>
      <x:c r="Q6" s="2"/>
      <x:c r="R6" s="2"/>
      <x:c r="S6" s="2"/>
      <x:c r="T6" s="2"/>
    </x:row>
    <x:row r="7" ht="24" customHeight="1">
      <x:c r="A7" s="2" t="str">
        <x:v>Gruppe A</x:v>
      </x:c>
      <x:c r="B7" s="2" t="n">
        <x:v>6</x:v>
      </x:c>
      <x:c r="C7" s="2" t="n">
        <x:v>1</x:v>
      </x:c>
      <x:c r="D7" s="2" t="str">
        <x:f>IF(Teilnehmer!C6="","",Teilnehmer!C6)</x:f>
      </x:c>
      <x:c r="E7" s="2" t="str">
        <x:f>IF(Teilnehmer!C9="","",Teilnehmer!C9)</x:f>
      </x:c>
      <x:c r="F7" s="2" t="str">
        <x:f>IF(ISNUMBER('Gruppe A'!H10),'Gruppe A'!H10,"")</x:f>
      </x:c>
      <x:c r="G7" s="2" t="str">
        <x:f>IF(ISNUMBER('Gruppe A'!F13),'Gruppe A'!F13,"")</x:f>
      </x:c>
      <x:c r="H7" s="2" t="str">
        <x:f>IF(ISNUMBER('Gruppe A'!I10),'Gruppe A'!I10,"")</x:f>
      </x:c>
      <x:c r="I7" s="2" t="str">
        <x:f>IF(ISNUMBER('Gruppe A'!G13),'Gruppe A'!G13,"")</x:f>
      </x:c>
      <x:c r="J7" s="2" t="str">
        <x:f>IF(ISNUMBER('Gruppe A'!I12),'Gruppe A'!I12,"")</x:f>
      </x:c>
      <x:c r="K7" s="2" t="str">
        <x:f>IF(ISNUMBER('Gruppe A'!G15),'Gruppe A'!G15,"")</x:f>
      </x:c>
      <x:c r="L7" s="6" t="str">
        <x:f>IF(ISNUMBER('Gruppe A'!S2),'Gruppe A'!S2,"")</x:f>
      </x:c>
      <x:c r="M7" s="2"/>
      <x:c r="N7" s="2"/>
      <x:c r="O7" s="2"/>
      <x:c r="P7" s="2"/>
      <x:c r="Q7" s="2"/>
      <x:c r="R7" s="2"/>
      <x:c r="S7" s="2"/>
      <x:c r="T7" s="2"/>
    </x:row>
    <x:row r="8" ht="24" customHeight="1">
      <x:c r="A8" s="2" t="str">
        <x:v>Gruppe B</x:v>
      </x:c>
      <x:c r="B8" s="2" t="n">
        <x:v>7</x:v>
      </x:c>
      <x:c r="C8" s="2" t="n">
        <x:v>1</x:v>
      </x:c>
      <x:c r="D8" s="2" t="str">
        <x:f>IF(Teilnehmer!C3="","",Teilnehmer!C3)</x:f>
      </x:c>
      <x:c r="E8" s="2" t="str">
        <x:f>IF(Teilnehmer!C4="","",Teilnehmer!C4)</x:f>
      </x:c>
      <x:c r="F8" s="2" t="str">
        <x:f>IF(ISNUMBER('Gruppe B'!D4),'Gruppe B'!D4,"")</x:f>
      </x:c>
      <x:c r="G8" s="2" t="str">
        <x:f>IF(ISNUMBER('Gruppe B'!B7),'Gruppe B'!B7,"")</x:f>
      </x:c>
      <x:c r="H8" s="2" t="str">
        <x:f>IF(ISNUMBER('Gruppe B'!E4),'Gruppe B'!E4,"")</x:f>
      </x:c>
      <x:c r="I8" s="2" t="str">
        <x:f>IF(ISNUMBER('Gruppe B'!C7),'Gruppe B'!C7,"")</x:f>
      </x:c>
      <x:c r="J8" s="2" t="str">
        <x:f>IF(ISNUMBER('Gruppe B'!E6),'Gruppe B'!E6,"")</x:f>
      </x:c>
      <x:c r="K8" s="2" t="str">
        <x:f>IF(ISNUMBER('Gruppe B'!C9),'Gruppe B'!C9,"")</x:f>
      </x:c>
      <x:c r="L8" s="6" t="str">
        <x:f>IF(ISNUMBER('Gruppe A'!S2),'Gruppe A'!S2,"")</x:f>
      </x:c>
      <x:c r="M8" s="2"/>
      <x:c r="N8" s="2"/>
      <x:c r="O8" s="2"/>
      <x:c r="P8" s="2"/>
      <x:c r="Q8" s="2"/>
      <x:c r="R8" s="2"/>
      <x:c r="S8" s="2"/>
      <x:c r="T8" s="2"/>
    </x:row>
    <x:row r="9" ht="24" customHeight="1">
      <x:c r="A9" s="2" t="str">
        <x:v>Gruppe B</x:v>
      </x:c>
      <x:c r="B9" s="2" t="n">
        <x:v>8</x:v>
      </x:c>
      <x:c r="C9" s="2" t="n">
        <x:v>1</x:v>
      </x:c>
      <x:c r="D9" s="2" t="str">
        <x:f>IF(Teilnehmer!C3="","",Teilnehmer!C3)</x:f>
      </x:c>
      <x:c r="E9" s="2" t="str">
        <x:f>IF(Teilnehmer!C7="","",Teilnehmer!C7)</x:f>
      </x:c>
      <x:c r="F9" s="2" t="str">
        <x:f>IF(ISNUMBER('Gruppe B'!F4),'Gruppe B'!F4,"")</x:f>
      </x:c>
      <x:c r="G9" s="2" t="str">
        <x:f>IF(ISNUMBER('Gruppe B'!B10),'Gruppe B'!B10,"")</x:f>
      </x:c>
      <x:c r="H9" s="2" t="str">
        <x:f>IF(ISNUMBER('Gruppe B'!G4),'Gruppe B'!G4,"")</x:f>
      </x:c>
      <x:c r="I9" s="2" t="str">
        <x:f>IF(ISNUMBER('Gruppe B'!C10),'Gruppe B'!C10,"")</x:f>
      </x:c>
      <x:c r="J9" s="2" t="str">
        <x:f>IF(ISNUMBER('Gruppe B'!G6),'Gruppe B'!G6,"")</x:f>
      </x:c>
      <x:c r="K9" s="2" t="str">
        <x:f>IF(ISNUMBER('Gruppe B'!C12),'Gruppe B'!C12,"")</x:f>
      </x:c>
      <x:c r="L9" s="6" t="str">
        <x:f>IF(ISNUMBER('Gruppe A'!S2),'Gruppe A'!S2,"")</x:f>
      </x:c>
      <x:c r="M9" s="2"/>
      <x:c r="N9" s="2"/>
      <x:c r="O9" s="2"/>
      <x:c r="P9" s="2"/>
      <x:c r="Q9" s="2"/>
      <x:c r="R9" s="2"/>
      <x:c r="S9" s="2"/>
      <x:c r="T9" s="2"/>
    </x:row>
    <x:row r="10" ht="24" customHeight="1">
      <x:c r="A10" s="2" t="str">
        <x:v>Gruppe B</x:v>
      </x:c>
      <x:c r="B10" s="2" t="n">
        <x:v>9</x:v>
      </x:c>
      <x:c r="C10" s="2" t="n">
        <x:v>1</x:v>
      </x:c>
      <x:c r="D10" s="2" t="str">
        <x:f>IF(Teilnehmer!C3="","",Teilnehmer!C3)</x:f>
      </x:c>
      <x:c r="E10" s="2" t="str">
        <x:f>IF(Teilnehmer!C8="","",Teilnehmer!C8)</x:f>
      </x:c>
      <x:c r="F10" s="2" t="str">
        <x:f>IF(ISNUMBER('Gruppe B'!H4),'Gruppe B'!H4,"")</x:f>
      </x:c>
      <x:c r="G10" s="2" t="str">
        <x:f>IF(ISNUMBER('Gruppe B'!B13),'Gruppe B'!B13,"")</x:f>
      </x:c>
      <x:c r="H10" s="2" t="str">
        <x:f>IF(ISNUMBER('Gruppe B'!I4),'Gruppe B'!I4,"")</x:f>
      </x:c>
      <x:c r="I10" s="2" t="str">
        <x:f>IF(ISNUMBER('Gruppe B'!C13),'Gruppe B'!C13,"")</x:f>
      </x:c>
      <x:c r="J10" s="2" t="str">
        <x:f>IF(ISNUMBER('Gruppe B'!I6),'Gruppe B'!I6,"")</x:f>
      </x:c>
      <x:c r="K10" s="2" t="str">
        <x:f>IF(ISNUMBER('Gruppe B'!C15),'Gruppe B'!C15,"")</x:f>
      </x:c>
      <x:c r="L10" s="6" t="str">
        <x:f>IF(ISNUMBER('Gruppe A'!S2),'Gruppe A'!S2,"")</x:f>
      </x:c>
      <x:c r="M10" s="2"/>
      <x:c r="N10" s="2"/>
      <x:c r="O10" s="2"/>
      <x:c r="P10" s="2"/>
      <x:c r="Q10" s="2"/>
      <x:c r="R10" s="2"/>
      <x:c r="S10" s="2"/>
      <x:c r="T10" s="2"/>
    </x:row>
    <x:row r="11" ht="24" customHeight="1">
      <x:c r="A11" s="2" t="str">
        <x:v>Gruppe B</x:v>
      </x:c>
      <x:c r="B11" s="2" t="n">
        <x:v>10</x:v>
      </x:c>
      <x:c r="C11" s="2" t="n">
        <x:v>1</x:v>
      </x:c>
      <x:c r="D11" s="2" t="str">
        <x:f>IF(Teilnehmer!C3="","",Teilnehmer!C3)</x:f>
      </x:c>
      <x:c r="E11" s="2" t="str">
        <x:f>IF(Teilnehmer!C10="","",Teilnehmer!C10)</x:f>
      </x:c>
      <x:c r="F11" s="2" t="str">
        <x:f>IF(ISNUMBER('Gruppe B'!J4),'Gruppe B'!J4,"")</x:f>
      </x:c>
      <x:c r="G11" s="2" t="str">
        <x:f>IF(ISNUMBER('Gruppe B'!B16),'Gruppe B'!B16,"")</x:f>
      </x:c>
      <x:c r="H11" s="2" t="str">
        <x:f>IF(ISNUMBER('Gruppe B'!K4),'Gruppe B'!K4,"")</x:f>
      </x:c>
      <x:c r="I11" s="2" t="str">
        <x:f>IF(ISNUMBER('Gruppe B'!C16),'Gruppe B'!C16,"")</x:f>
      </x:c>
      <x:c r="J11" s="2" t="str">
        <x:f>IF(ISNUMBER('Gruppe B'!K6),'Gruppe B'!K6,"")</x:f>
      </x:c>
      <x:c r="K11" s="2" t="str">
        <x:f>IF(ISNUMBER('Gruppe B'!C18),'Gruppe B'!C18,"")</x:f>
      </x:c>
      <x:c r="L11" s="6" t="str">
        <x:f>IF(ISNUMBER('Gruppe A'!S2),'Gruppe A'!S2,"")</x:f>
      </x:c>
      <x:c r="M11" s="2"/>
      <x:c r="N11" s="2"/>
      <x:c r="O11" s="2"/>
      <x:c r="P11" s="2"/>
      <x:c r="Q11" s="2"/>
      <x:c r="R11" s="2"/>
      <x:c r="S11" s="2"/>
      <x:c r="T11" s="2"/>
    </x:row>
    <x:row r="12" ht="24" customHeight="1">
      <x:c r="A12" s="2" t="str">
        <x:v>Gruppe B</x:v>
      </x:c>
      <x:c r="B12" s="2" t="n">
        <x:v>11</x:v>
      </x:c>
      <x:c r="C12" s="2" t="n">
        <x:v>1</x:v>
      </x:c>
      <x:c r="D12" s="2" t="str">
        <x:f>IF(Teilnehmer!C4="","",Teilnehmer!C4)</x:f>
      </x:c>
      <x:c r="E12" s="2" t="str">
        <x:f>IF(Teilnehmer!C7="","",Teilnehmer!C7)</x:f>
      </x:c>
      <x:c r="F12" s="2" t="str">
        <x:f>IF(ISNUMBER('Gruppe B'!F7),'Gruppe B'!F7,"")</x:f>
      </x:c>
      <x:c r="G12" s="2" t="str">
        <x:f>IF(ISNUMBER('Gruppe B'!D10),'Gruppe B'!D10,"")</x:f>
      </x:c>
      <x:c r="H12" s="2" t="str">
        <x:f>IF(ISNUMBER('Gruppe B'!G7),'Gruppe B'!G7,"")</x:f>
      </x:c>
      <x:c r="I12" s="2" t="str">
        <x:f>IF(ISNUMBER('Gruppe B'!E10),'Gruppe B'!E10,"")</x:f>
      </x:c>
      <x:c r="J12" s="2" t="str">
        <x:f>IF(ISNUMBER('Gruppe B'!G9),'Gruppe B'!G9,"")</x:f>
      </x:c>
      <x:c r="K12" s="2" t="str">
        <x:f>IF(ISNUMBER('Gruppe B'!E12),'Gruppe B'!E12,"")</x:f>
      </x:c>
      <x:c r="L12" s="6" t="str">
        <x:f>IF(ISNUMBER('Gruppe A'!S2),'Gruppe A'!S2,"")</x:f>
      </x:c>
      <x:c r="M12" s="2"/>
      <x:c r="N12" s="2"/>
      <x:c r="O12" s="2"/>
      <x:c r="P12" s="2"/>
      <x:c r="Q12" s="2"/>
      <x:c r="R12" s="2"/>
      <x:c r="S12" s="2"/>
      <x:c r="T12" s="2"/>
    </x:row>
    <x:row r="13" ht="24" customHeight="1">
      <x:c r="A13" s="2" t="str">
        <x:v>Gruppe B</x:v>
      </x:c>
      <x:c r="B13" s="2" t="n">
        <x:v>12</x:v>
      </x:c>
      <x:c r="C13" s="2" t="n">
        <x:v>1</x:v>
      </x:c>
      <x:c r="D13" s="2" t="str">
        <x:f>IF(Teilnehmer!C4="","",Teilnehmer!C4)</x:f>
      </x:c>
      <x:c r="E13" s="2" t="str">
        <x:f>IF(Teilnehmer!C8="","",Teilnehmer!C8)</x:f>
      </x:c>
      <x:c r="F13" s="2" t="str">
        <x:f>IF(ISNUMBER('Gruppe B'!H7),'Gruppe B'!H7,"")</x:f>
      </x:c>
      <x:c r="G13" s="2" t="str">
        <x:f>IF(ISNUMBER('Gruppe B'!D13),'Gruppe B'!D13,"")</x:f>
      </x:c>
      <x:c r="H13" s="2" t="str">
        <x:f>IF(ISNUMBER('Gruppe B'!I7),'Gruppe B'!I7,"")</x:f>
      </x:c>
      <x:c r="I13" s="2" t="str">
        <x:f>IF(ISNUMBER('Gruppe B'!E13),'Gruppe B'!E13,"")</x:f>
      </x:c>
      <x:c r="J13" s="2" t="str">
        <x:f>IF(ISNUMBER('Gruppe B'!I9),'Gruppe B'!I9,"")</x:f>
      </x:c>
      <x:c r="K13" s="2" t="str">
        <x:f>IF(ISNUMBER('Gruppe B'!E15),'Gruppe B'!E15,"")</x:f>
      </x:c>
      <x:c r="L13" s="6" t="str">
        <x:f>IF(ISNUMBER('Gruppe A'!S2),'Gruppe A'!S2,"")</x:f>
      </x:c>
      <x:c r="M13" s="2"/>
      <x:c r="N13" s="2"/>
      <x:c r="O13" s="2"/>
      <x:c r="P13" s="2"/>
      <x:c r="Q13" s="2"/>
      <x:c r="R13" s="2"/>
      <x:c r="S13" s="2"/>
      <x:c r="T13" s="2"/>
    </x:row>
    <x:row r="14" ht="24" customHeight="1">
      <x:c r="A14" s="2" t="str">
        <x:v>Gruppe B</x:v>
      </x:c>
      <x:c r="B14" s="2" t="n">
        <x:v>13</x:v>
      </x:c>
      <x:c r="C14" s="2" t="n">
        <x:v>1</x:v>
      </x:c>
      <x:c r="D14" s="2" t="str">
        <x:f>IF(Teilnehmer!C4="","",Teilnehmer!C4)</x:f>
      </x:c>
      <x:c r="E14" s="2" t="str">
        <x:f>IF(Teilnehmer!C10="","",Teilnehmer!C10)</x:f>
      </x:c>
      <x:c r="F14" s="2" t="str">
        <x:f>IF(ISNUMBER('Gruppe B'!J7),'Gruppe B'!J7,"")</x:f>
      </x:c>
      <x:c r="G14" s="2" t="str">
        <x:f>IF(ISNUMBER('Gruppe B'!D16),'Gruppe B'!D16,"")</x:f>
      </x:c>
      <x:c r="H14" s="2" t="str">
        <x:f>IF(ISNUMBER('Gruppe B'!K7),'Gruppe B'!K7,"")</x:f>
      </x:c>
      <x:c r="I14" s="2" t="str">
        <x:f>IF(ISNUMBER('Gruppe B'!E16),'Gruppe B'!E16,"")</x:f>
      </x:c>
      <x:c r="J14" s="2" t="str">
        <x:f>IF(ISNUMBER('Gruppe B'!K9),'Gruppe B'!K9,"")</x:f>
      </x:c>
      <x:c r="K14" s="2" t="str">
        <x:f>IF(ISNUMBER('Gruppe B'!E18),'Gruppe B'!E18,"")</x:f>
      </x:c>
      <x:c r="L14" s="6" t="str">
        <x:f>IF(ISNUMBER('Gruppe A'!S2),'Gruppe A'!S2,"")</x:f>
      </x:c>
      <x:c r="M14" s="2"/>
      <x:c r="N14" s="2"/>
      <x:c r="O14" s="2"/>
      <x:c r="P14" s="2"/>
      <x:c r="Q14" s="2"/>
      <x:c r="R14" s="2"/>
      <x:c r="S14" s="2"/>
      <x:c r="T14" s="2"/>
    </x:row>
    <x:row r="15" ht="24" customHeight="1">
      <x:c r="A15" s="2" t="str">
        <x:v>Gruppe B</x:v>
      </x:c>
      <x:c r="B15" s="2" t="n">
        <x:v>14</x:v>
      </x:c>
      <x:c r="C15" s="2" t="n">
        <x:v>1</x:v>
      </x:c>
      <x:c r="D15" s="2" t="str">
        <x:f>IF(Teilnehmer!C7="","",Teilnehmer!C7)</x:f>
      </x:c>
      <x:c r="E15" s="2" t="str">
        <x:f>IF(Teilnehmer!C8="","",Teilnehmer!C8)</x:f>
      </x:c>
      <x:c r="F15" s="2" t="str">
        <x:f>IF(ISNUMBER('Gruppe B'!H10),'Gruppe B'!H10,"")</x:f>
      </x:c>
      <x:c r="G15" s="2" t="str">
        <x:f>IF(ISNUMBER('Gruppe B'!F13),'Gruppe B'!F13,"")</x:f>
      </x:c>
      <x:c r="H15" s="2" t="str">
        <x:f>IF(ISNUMBER('Gruppe B'!I10),'Gruppe B'!I10,"")</x:f>
      </x:c>
      <x:c r="I15" s="2" t="str">
        <x:f>IF(ISNUMBER('Gruppe B'!G13),'Gruppe B'!G13,"")</x:f>
      </x:c>
      <x:c r="J15" s="2" t="str">
        <x:f>IF(ISNUMBER('Gruppe B'!I12),'Gruppe B'!I12,"")</x:f>
      </x:c>
      <x:c r="K15" s="2" t="str">
        <x:f>IF(ISNUMBER('Gruppe B'!G15),'Gruppe B'!G15,"")</x:f>
      </x:c>
      <x:c r="L15" s="6" t="str">
        <x:f>IF(ISNUMBER('Gruppe A'!S2),'Gruppe A'!S2,"")</x:f>
      </x:c>
      <x:c r="M15" s="2"/>
      <x:c r="N15" s="2"/>
      <x:c r="O15" s="2"/>
      <x:c r="P15" s="2"/>
      <x:c r="Q15" s="2"/>
      <x:c r="R15" s="2"/>
      <x:c r="S15" s="2"/>
      <x:c r="T15" s="2"/>
    </x:row>
    <x:row r="16" ht="24" customHeight="1">
      <x:c r="A16" s="2" t="str">
        <x:v>Gruppe B</x:v>
      </x:c>
      <x:c r="B16" s="2" t="n">
        <x:v>15</x:v>
      </x:c>
      <x:c r="C16" s="2" t="n">
        <x:v>1</x:v>
      </x:c>
      <x:c r="D16" s="2" t="str">
        <x:f>IF(Teilnehmer!C7="","",Teilnehmer!C7)</x:f>
      </x:c>
      <x:c r="E16" s="2" t="str">
        <x:f>IF(Teilnehmer!C10="","",Teilnehmer!C10)</x:f>
      </x:c>
      <x:c r="F16" s="2" t="str">
        <x:f>IF(ISNUMBER('Gruppe B'!J10),'Gruppe B'!J10,"")</x:f>
      </x:c>
      <x:c r="G16" s="2" t="str">
        <x:f>IF(ISNUMBER('Gruppe B'!F16),'Gruppe B'!F16,"")</x:f>
      </x:c>
      <x:c r="H16" s="2" t="str">
        <x:f>IF(ISNUMBER('Gruppe B'!K10),'Gruppe B'!K10,"")</x:f>
      </x:c>
      <x:c r="I16" s="2" t="str">
        <x:f>IF(ISNUMBER('Gruppe B'!G16),'Gruppe B'!G16,"")</x:f>
      </x:c>
      <x:c r="J16" s="2" t="str">
        <x:f>IF(ISNUMBER('Gruppe B'!K12),'Gruppe B'!K12,"")</x:f>
      </x:c>
      <x:c r="K16" s="2" t="str">
        <x:f>IF(ISNUMBER('Gruppe B'!G18),'Gruppe B'!G18,"")</x:f>
      </x:c>
      <x:c r="L16" s="6" t="str">
        <x:f>IF(ISNUMBER('Gruppe A'!S2),'Gruppe A'!S2,"")</x:f>
      </x:c>
      <x:c r="M16" s="2"/>
      <x:c r="N16" s="2"/>
      <x:c r="O16" s="2"/>
      <x:c r="P16" s="2"/>
      <x:c r="Q16" s="2"/>
      <x:c r="R16" s="2"/>
      <x:c r="S16" s="2"/>
      <x:c r="T16" s="2"/>
    </x:row>
    <x:row r="17" ht="24" customHeight="1">
      <x:c r="A17" s="2" t="str">
        <x:v>Gruppe B</x:v>
      </x:c>
      <x:c r="B17" s="2" t="n">
        <x:v>16</x:v>
      </x:c>
      <x:c r="C17" s="2" t="n">
        <x:v>1</x:v>
      </x:c>
      <x:c r="D17" s="2" t="str">
        <x:f>IF(Teilnehmer!C8="","",Teilnehmer!C8)</x:f>
      </x:c>
      <x:c r="E17" s="2" t="str">
        <x:f>IF(Teilnehmer!C10="","",Teilnehmer!C10)</x:f>
      </x:c>
      <x:c r="F17" s="2" t="str">
        <x:f>IF(ISNUMBER('Gruppe B'!J13),'Gruppe B'!J13,"")</x:f>
      </x:c>
      <x:c r="G17" s="2" t="str">
        <x:f>IF(ISNUMBER('Gruppe B'!H16),'Gruppe B'!H16,"")</x:f>
      </x:c>
      <x:c r="H17" s="2" t="str">
        <x:f>IF(ISNUMBER('Gruppe B'!K13),'Gruppe B'!K13,"")</x:f>
      </x:c>
      <x:c r="I17" s="2" t="str">
        <x:f>IF(ISNUMBER('Gruppe B'!I16),'Gruppe B'!I16,"")</x:f>
      </x:c>
      <x:c r="J17" s="2" t="str">
        <x:f>IF(ISNUMBER('Gruppe B'!K15),'Gruppe B'!K15,"")</x:f>
      </x:c>
      <x:c r="K17" s="2" t="str">
        <x:f>IF(ISNUMBER('Gruppe B'!I18),'Gruppe B'!I18,"")</x:f>
      </x:c>
      <x:c r="L17" s="6" t="str">
        <x:f>IF(ISNUMBER('Gruppe A'!S2),'Gruppe A'!S2,"")</x:f>
      </x:c>
      <x:c r="M17" s="2"/>
      <x:c r="N17" s="2"/>
      <x:c r="O17" s="2"/>
      <x:c r="P17" s="2"/>
      <x:c r="Q17" s="2"/>
      <x:c r="R17" s="2"/>
      <x:c r="S17" s="2"/>
      <x:c r="T17" s="2"/>
    </x:row>
    <x:row r="18" ht="24" customHeight="1">
      <x:c r="A18" s="2" t="str">
        <x:f>Finalrunde!C5</x:f>
        <x:v>HF1</x:v>
      </x:c>
      <x:c r="B18" s="2" t="n">
        <x:v>17</x:v>
      </x:c>
      <x:c r="C18" s="2" t="n">
        <x:v>1</x:v>
      </x:c>
      <x:c r="D18" s="2" t="str">
        <x:f>IF(Finalrunde!U5="","",INDEX(Teilnehmer!$C$2:$C$10,MATCH(Finalrunde!U5,Teilnehmer!$A$2:$A$10,0)))</x:f>
      </x:c>
      <x:c r="E18" s="2" t="str">
        <x:f>IF(Finalrunde!V5="","",INDEX(Teilnehmer!$C$2:$C$10,MATCH(Finalrunde!V5,Teilnehmer!$A$2:$A$10,0)))</x:f>
      </x:c>
      <x:c r="F18" s="2" t="str">
        <x:f>IF(ISNUMBER(Finalrunde!E5),Finalrunde!E5,"")</x:f>
      </x:c>
      <x:c r="G18" s="2" t="str">
        <x:f>IF(ISNUMBER(Finalrunde!J5),Finalrunde!J5,"")</x:f>
      </x:c>
      <x:c r="H18" s="2" t="str">
        <x:f>IF(ISNUMBER(Finalrunde!F5),Finalrunde!F5,"")</x:f>
      </x:c>
      <x:c r="I18" s="2" t="str">
        <x:f>IF(ISNUMBER(Finalrunde!K5),Finalrunde!K5,"")</x:f>
      </x:c>
      <x:c r="J18" s="2" t="str">
        <x:f>IF(ISNUMBER(Finalrunde!G5),Finalrunde!G5,"")</x:f>
      </x:c>
      <x:c r="K18" s="2" t="str">
        <x:f>IF(ISNUMBER(Finalrunde!L5),Finalrunde!L5,"")</x:f>
      </x:c>
      <x:c r="L18" s="6" t="str">
        <x:f>IF(ISNUMBER('Gruppe A'!S2),'Gruppe A'!S2,"")</x:f>
      </x:c>
      <x:c r="M18" s="2"/>
      <x:c r="N18" s="2"/>
      <x:c r="O18" s="2"/>
      <x:c r="P18" s="2"/>
      <x:c r="Q18" s="2"/>
      <x:c r="R18" s="2"/>
      <x:c r="S18" s="2"/>
      <x:c r="T18" s="2"/>
    </x:row>
    <x:row r="19" ht="24" customHeight="1">
      <x:c r="A19" s="2" t="str">
        <x:f>Finalrunde!C6</x:f>
        <x:v>HF2</x:v>
      </x:c>
      <x:c r="B19" s="2" t="n">
        <x:v>18</x:v>
      </x:c>
      <x:c r="C19" s="2" t="n">
        <x:v>1</x:v>
      </x:c>
      <x:c r="D19" s="2" t="str">
        <x:f>IF(Finalrunde!U6="","",INDEX(Teilnehmer!$C$2:$C$10,MATCH(Finalrunde!U6,Teilnehmer!$A$2:$A$10,0)))</x:f>
      </x:c>
      <x:c r="E19" s="2" t="str">
        <x:f>IF(Finalrunde!V6="","",INDEX(Teilnehmer!$C$2:$C$10,MATCH(Finalrunde!V6,Teilnehmer!$A$2:$A$10,0)))</x:f>
      </x:c>
      <x:c r="F19" s="2" t="str">
        <x:f>IF(ISNUMBER(Finalrunde!E6),Finalrunde!E6,"")</x:f>
      </x:c>
      <x:c r="G19" s="2" t="str">
        <x:f>IF(ISNUMBER(Finalrunde!J6),Finalrunde!J6,"")</x:f>
      </x:c>
      <x:c r="H19" s="2" t="str">
        <x:f>IF(ISNUMBER(Finalrunde!F6),Finalrunde!F6,"")</x:f>
      </x:c>
      <x:c r="I19" s="2" t="str">
        <x:f>IF(ISNUMBER(Finalrunde!K6),Finalrunde!K6,"")</x:f>
      </x:c>
      <x:c r="J19" s="2" t="str">
        <x:f>IF(ISNUMBER(Finalrunde!G6),Finalrunde!G6,"")</x:f>
      </x:c>
      <x:c r="K19" s="2" t="str">
        <x:f>IF(ISNUMBER(Finalrunde!L6),Finalrunde!L6,"")</x:f>
      </x:c>
      <x:c r="L19" s="6" t="str">
        <x:f>IF(ISNUMBER('Gruppe A'!S2),'Gruppe A'!S2,"")</x:f>
      </x:c>
      <x:c r="M19" s="2"/>
      <x:c r="N19" s="2"/>
      <x:c r="O19" s="2"/>
      <x:c r="P19" s="2"/>
      <x:c r="Q19" s="2"/>
      <x:c r="R19" s="2"/>
      <x:c r="S19" s="2"/>
      <x:c r="T19" s="2"/>
    </x:row>
    <x:row r="20" ht="24" customHeight="1">
      <x:c r="A20" s="2" t="str">
        <x:f>Finalrunde!C7</x:f>
        <x:v>Platz 5–6</x:v>
      </x:c>
      <x:c r="B20" s="2" t="n">
        <x:v>19</x:v>
      </x:c>
      <x:c r="C20" s="2" t="n">
        <x:v>1</x:v>
      </x:c>
      <x:c r="D20" s="2" t="str">
        <x:f>IF(Finalrunde!U7="","",INDEX(Teilnehmer!$C$2:$C$10,MATCH(Finalrunde!U7,Teilnehmer!$A$2:$A$10,0)))</x:f>
      </x:c>
      <x:c r="E20" s="2" t="str">
        <x:f>IF(Finalrunde!V7="","",INDEX(Teilnehmer!$C$2:$C$10,MATCH(Finalrunde!V7,Teilnehmer!$A$2:$A$10,0)))</x:f>
      </x:c>
      <x:c r="F20" s="2" t="str">
        <x:f>IF(ISNUMBER(Finalrunde!E7),Finalrunde!E7,"")</x:f>
      </x:c>
      <x:c r="G20" s="2" t="str">
        <x:f>IF(ISNUMBER(Finalrunde!J7),Finalrunde!J7,"")</x:f>
      </x:c>
      <x:c r="H20" s="2" t="str">
        <x:f>IF(ISNUMBER(Finalrunde!F7),Finalrunde!F7,"")</x:f>
      </x:c>
      <x:c r="I20" s="2" t="str">
        <x:f>IF(ISNUMBER(Finalrunde!K7),Finalrunde!K7,"")</x:f>
      </x:c>
      <x:c r="J20" s="2" t="str">
        <x:f>IF(ISNUMBER(Finalrunde!G7),Finalrunde!G7,"")</x:f>
      </x:c>
      <x:c r="K20" s="2" t="str">
        <x:f>IF(ISNUMBER(Finalrunde!L7),Finalrunde!L7,"")</x:f>
      </x:c>
      <x:c r="L20" s="6" t="str">
        <x:f>IF(ISNUMBER('Gruppe A'!S2),'Gruppe A'!S2,"")</x:f>
      </x:c>
      <x:c r="M20" s="2"/>
      <x:c r="N20" s="2"/>
      <x:c r="O20" s="2"/>
      <x:c r="P20" s="2"/>
      <x:c r="Q20" s="2"/>
      <x:c r="R20" s="2"/>
      <x:c r="S20" s="2"/>
      <x:c r="T20" s="2"/>
    </x:row>
    <x:row r="21" ht="24" customHeight="1">
      <x:c r="A21" s="2" t="str">
        <x:f>Finalrunde!C8</x:f>
        <x:v>Platz 7–8</x:v>
      </x:c>
      <x:c r="B21" s="2" t="n">
        <x:v>20</x:v>
      </x:c>
      <x:c r="C21" s="2" t="n">
        <x:v>1</x:v>
      </x:c>
      <x:c r="D21" s="2" t="str">
        <x:f>IF(Finalrunde!U8="","",INDEX(Teilnehmer!$C$2:$C$10,MATCH(Finalrunde!U8,Teilnehmer!$A$2:$A$10,0)))</x:f>
      </x:c>
      <x:c r="E21" s="2" t="str">
        <x:f>IF(Finalrunde!V8="","",INDEX(Teilnehmer!$C$2:$C$10,MATCH(Finalrunde!V8,Teilnehmer!$A$2:$A$10,0)))</x:f>
      </x:c>
      <x:c r="F21" s="2" t="str">
        <x:f>IF(ISNUMBER(Finalrunde!E8),Finalrunde!E8,"")</x:f>
      </x:c>
      <x:c r="G21" s="2" t="str">
        <x:f>IF(ISNUMBER(Finalrunde!J8),Finalrunde!J8,"")</x:f>
      </x:c>
      <x:c r="H21" s="2" t="str">
        <x:f>IF(ISNUMBER(Finalrunde!F8),Finalrunde!F8,"")</x:f>
      </x:c>
      <x:c r="I21" s="2" t="str">
        <x:f>IF(ISNUMBER(Finalrunde!K8),Finalrunde!K8,"")</x:f>
      </x:c>
      <x:c r="J21" s="2" t="str">
        <x:f>IF(ISNUMBER(Finalrunde!G8),Finalrunde!G8,"")</x:f>
      </x:c>
      <x:c r="K21" s="2" t="str">
        <x:f>IF(ISNUMBER(Finalrunde!L8),Finalrunde!L8,"")</x:f>
      </x:c>
      <x:c r="L21" s="6" t="str">
        <x:f>IF(ISNUMBER('Gruppe A'!S2),'Gruppe A'!S2,"")</x:f>
      </x:c>
      <x:c r="M21" s="2"/>
      <x:c r="N21" s="2"/>
      <x:c r="O21" s="2"/>
      <x:c r="P21" s="2"/>
      <x:c r="Q21" s="2"/>
      <x:c r="R21" s="2"/>
      <x:c r="S21" s="2"/>
      <x:c r="T21" s="2"/>
    </x:row>
    <x:row r="22" ht="24" customHeight="1">
      <x:c r="A22" s="2" t="str">
        <x:f>Finalrunde!C9</x:f>
        <x:v>Finale</x:v>
      </x:c>
      <x:c r="B22" s="2" t="n">
        <x:v>21</x:v>
      </x:c>
      <x:c r="C22" s="2" t="n">
        <x:v>1</x:v>
      </x:c>
      <x:c r="D22" s="2" t="str">
        <x:f>IF(Finalrunde!U9="","",INDEX(Teilnehmer!$C$2:$C$10,MATCH(Finalrunde!U9,Teilnehmer!$A$2:$A$10,0)))</x:f>
      </x:c>
      <x:c r="E22" s="2" t="str">
        <x:f>IF(Finalrunde!V9="","",INDEX(Teilnehmer!$C$2:$C$10,MATCH(Finalrunde!V9,Teilnehmer!$A$2:$A$10,0)))</x:f>
      </x:c>
      <x:c r="F22" s="2" t="str">
        <x:f>IF(ISNUMBER(Finalrunde!E9),Finalrunde!E9,"")</x:f>
      </x:c>
      <x:c r="G22" s="2" t="str">
        <x:f>IF(ISNUMBER(Finalrunde!J9),Finalrunde!J9,"")</x:f>
      </x:c>
      <x:c r="H22" s="2" t="str">
        <x:f>IF(ISNUMBER(Finalrunde!F9),Finalrunde!F9,"")</x:f>
      </x:c>
      <x:c r="I22" s="2" t="str">
        <x:f>IF(ISNUMBER(Finalrunde!K9),Finalrunde!K9,"")</x:f>
      </x:c>
      <x:c r="J22" s="2" t="str">
        <x:f>IF(ISNUMBER(Finalrunde!G9),Finalrunde!G9,"")</x:f>
      </x:c>
      <x:c r="K22" s="2" t="str">
        <x:f>IF(ISNUMBER(Finalrunde!L9),Finalrunde!L9,"")</x:f>
      </x:c>
      <x:c r="L22" s="6" t="str">
        <x:f>IF(ISNUMBER('Gruppe A'!S2),'Gruppe A'!S2,"")</x:f>
      </x:c>
      <x:c r="M22" s="2"/>
      <x:c r="N22" s="2"/>
      <x:c r="O22" s="2"/>
      <x:c r="P22" s="2"/>
      <x:c r="Q22" s="2"/>
      <x:c r="R22" s="2"/>
      <x:c r="S22" s="2"/>
      <x:c r="T22" s="2"/>
    </x:row>
    <x:row r="23" ht="24" customHeight="1">
      <x:c r="A23" s="2" t="str">
        <x:f>Finalrunde!C10</x:f>
        <x:v>Platz 3–4</x:v>
      </x:c>
      <x:c r="B23" s="2" t="n">
        <x:v>22</x:v>
      </x:c>
      <x:c r="C23" s="2" t="n">
        <x:v>1</x:v>
      </x:c>
      <x:c r="D23" s="2" t="str">
        <x:f>IF(Finalrunde!U10="","",INDEX(Teilnehmer!$C$2:$C$10,MATCH(Finalrunde!U10,Teilnehmer!$A$2:$A$10,0)))</x:f>
      </x:c>
      <x:c r="E23" s="2" t="str">
        <x:f>IF(Finalrunde!V10="","",INDEX(Teilnehmer!$C$2:$C$10,MATCH(Finalrunde!V10,Teilnehmer!$A$2:$A$10,0)))</x:f>
      </x:c>
      <x:c r="F23" s="2" t="str">
        <x:f>IF(ISNUMBER(Finalrunde!E10),Finalrunde!E10,"")</x:f>
      </x:c>
      <x:c r="G23" s="2" t="str">
        <x:f>IF(ISNUMBER(Finalrunde!J10),Finalrunde!J10,"")</x:f>
      </x:c>
      <x:c r="H23" s="2" t="str">
        <x:f>IF(ISNUMBER(Finalrunde!F10),Finalrunde!F10,"")</x:f>
      </x:c>
      <x:c r="I23" s="2" t="str">
        <x:f>IF(ISNUMBER(Finalrunde!K10),Finalrunde!K10,"")</x:f>
      </x:c>
      <x:c r="J23" s="2" t="str">
        <x:f>IF(ISNUMBER(Finalrunde!G10),Finalrunde!G10,"")</x:f>
      </x:c>
      <x:c r="K23" s="2" t="str">
        <x:f>IF(ISNUMBER(Finalrunde!L10),Finalrunde!L10,"")</x:f>
      </x:c>
      <x:c r="L23" s="6" t="str">
        <x:f>IF(ISNUMBER('Gruppe A'!S2),'Gruppe A'!S2,"")</x:f>
      </x:c>
      <x:c r="M23" s="2"/>
      <x:c r="N23" s="2"/>
      <x:c r="O23" s="2"/>
      <x:c r="P23" s="2"/>
      <x:c r="Q23" s="2"/>
      <x:c r="R23" s="2"/>
      <x:c r="S23" s="2"/>
      <x:c r="T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</x:sheetData>
  <x:pageMargins left="0.2" right="0.2" top="0.3" bottom="0.3" header="0.1" footer="0.1"/>
  <x:pageSetup paperSize="9" orientation="landscape" fitToWidth="1" fitToHeight="1"/>
</x:worksheet>
</file>