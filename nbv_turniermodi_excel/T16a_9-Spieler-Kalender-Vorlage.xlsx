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55caabbe249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au" sheetId="1" r:id="Rf6f57592be2b47ef"/>
    <x:sheet xmlns:r="http://schemas.openxmlformats.org/officeDocument/2006/relationships" name="Teilnehmer" sheetId="2" r:id="R90682fb3930c4df6"/>
    <x:sheet xmlns:r="http://schemas.openxmlformats.org/officeDocument/2006/relationships" name="CSV Export" sheetId="3" r:id="Re044e252bccc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0"/>
  </x:numFmts>
  <x:fonts count="4">
    <x:font>
      <x:sz val="11"/>
      <x:name val="Carlito"/>
    </x:font>
    <x:font>
      <x:sz val="10"/>
      <x:name val="Arial"/>
    </x:font>
    <x:font>
      <x:b/>
      <x:sz val="16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040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09d39e3bc48df" /><Relationship Type="http://schemas.openxmlformats.org/officeDocument/2006/relationships/theme" Target="/xl/theme/theme1.xml" Id="Rfe564d3d981648c7" /><Relationship Type="http://schemas.openxmlformats.org/officeDocument/2006/relationships/sharedStrings" Target="/xl/sharedStrings.xml" Id="R1d47392d9c87446a" /><Relationship Type="http://schemas.openxmlformats.org/officeDocument/2006/relationships/worksheet" Target="/xl/worksheets/sheet1.xml" Id="Rf6f57592be2b47ef" /><Relationship Type="http://schemas.openxmlformats.org/officeDocument/2006/relationships/worksheet" Target="/xl/worksheets/sheet2.xml" Id="R90682fb3930c4df6" /><Relationship Type="http://schemas.openxmlformats.org/officeDocument/2006/relationships/worksheet" Target="/xl/worksheets/sheet3.xml" Id="Re044e252bccc43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7" hidden="0" customWidth="1"/>
    <x:col min="2" max="2" width="7" hidden="0" customWidth="1"/>
    <x:col min="3" max="3" width="7" hidden="0" customWidth="1"/>
    <x:col min="4" max="4" width="16" hidden="0" customWidth="1"/>
    <x:col min="5" max="5" width="7" hidden="0" customWidth="1"/>
    <x:col min="6" max="6" width="28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2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3" customHeight="1">
      <x:c r="A2" s="2" t="str">
        <x:v>T16a – Vierer- und Fünfergruppe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3" customHeight="1">
      <x:c r="A3" s="1" t="str">
        <x:v>Turnier</x:v>
      </x:c>
      <x:c r="B3" s="1"/>
      <x:c r="C3" s="1"/>
      <x:c r="D3" s="1"/>
      <x:c r="E3" s="1"/>
      <x:c r="F3" s="1" t="str">
        <x:v>Datum</x:v>
      </x:c>
      <x:c r="G3" s="3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3" customHeight="1">
      <x:c r="A4" s="1" t="str">
        <x:v>Gelbe Felder: Ergebnisse eintragen. Bei Ballvorgaben zählt der Anteil erreichter Bälle; sonst die Ballzahl.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23" customHeight="1">
      <x:c r="A5" s="1" t="str">
        <x:v>Bei Gleichstand Gruppenrang in Teilnehmer!O2:O10 festlegen. K.O.-Verlängerung: MP 1/2 bei Bedarf auf 2/0 setzen.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</x:row>
    <x:row r="7" ht="36" customHeight="1">
      <x:c r="A7" s="7" t="str">
        <x:v>Nr.</x:v>
      </x:c>
      <x:c r="B7" s="7" t="str">
        <x:v>Runde</x:v>
      </x:c>
      <x:c r="C7" s="7" t="str">
        <x:v>Tisch</x:v>
      </x:c>
      <x:c r="D7" s="7" t="str">
        <x:v>Gruppe / Spiel</x:v>
      </x:c>
      <x:c r="E7" s="7" t="str">
        <x:v>Setz. 1</x:v>
      </x:c>
      <x:c r="F7" s="7" t="str">
        <x:v>Spieler 1</x:v>
      </x:c>
      <x:c r="G7" s="7" t="str">
        <x:v>Bälle 1</x:v>
      </x:c>
      <x:c r="H7" s="7" t="str">
        <x:v>Aufn. 1</x:v>
      </x:c>
      <x:c r="I7" s="7" t="str">
        <x:v>HS 1</x:v>
      </x:c>
      <x:c r="J7" s="7" t="str">
        <x:v>Setz. 2</x:v>
      </x:c>
      <x:c r="K7" s="7" t="str">
        <x:v>Spieler 2</x:v>
      </x:c>
      <x:c r="L7" s="7" t="str">
        <x:v>Bälle 2</x:v>
      </x:c>
      <x:c r="M7" s="7" t="str">
        <x:v>Aufn. 2</x:v>
      </x:c>
      <x:c r="N7" s="7" t="str">
        <x:v>HS 2</x:v>
      </x:c>
      <x:c r="O7" s="7" t="str">
        <x:v>GD 1</x:v>
      </x:c>
      <x:c r="P7" s="7" t="str">
        <x:v>GD 2</x:v>
      </x:c>
      <x:c r="Q7" s="7" t="str">
        <x:v>MP 1</x:v>
      </x:c>
      <x:c r="R7" s="7" t="str">
        <x:v>MP 2</x:v>
      </x:c>
    </x:row>
    <x:row r="8" ht="23" customHeight="1">
      <x:c r="A8" s="1" t="n">
        <x:v>1</x:v>
      </x:c>
      <x:c r="B8" s="1" t="n">
        <x:v>1</x:v>
      </x:c>
      <x:c r="C8" s="1" t="n">
        <x:v>1</x:v>
      </x:c>
      <x:c r="D8" s="1" t="str">
        <x:v>A</x:v>
      </x:c>
      <x:c r="E8" s="1" t="n">
        <x:v>1</x:v>
      </x:c>
      <x:c r="F8" s="1" t="str">
        <x:f>IF(E8="","",INDEX(Teilnehmer!$B$2:$B$10,MATCH(E8,Teilnehmer!$A$2:$A$10,0)))</x:f>
      </x:c>
      <x:c r="G8" s="8"/>
      <x:c r="H8" s="8"/>
      <x:c r="I8" s="8"/>
      <x:c r="J8" s="1" t="n">
        <x:v>8</x:v>
      </x:c>
      <x:c r="K8" s="1" t="str">
        <x:f>IF(J8="","",INDEX(Teilnehmer!$B$2:$B$10,MATCH(J8,Teilnehmer!$A$2:$A$10,0)))</x:f>
      </x:c>
      <x:c r="L8" s="8"/>
      <x:c r="M8" s="8"/>
      <x:c r="N8" s="8"/>
      <x:c r="O8" s="9" t="str">
        <x:f>IF(OR(NOT(ISNUMBER(G8)),NOT(ISNUMBER(H8)),H8=0),"",G8/H8)</x:f>
      </x:c>
      <x:c r="P8" s="9" t="str">
        <x:f>IF(OR(NOT(ISNUMBER(L8)),NOT(ISNUMBER(M8)),M8=0),"",L8/M8)</x:f>
      </x:c>
      <x:c r="Q8" s="8" t="str">
        <x:f>IF(OR(NOT(ISNUMBER(G8)),NOT(ISNUMBER(L8)),E8="",J8=""),"",IF(IF(AND(INDEX(Teilnehmer!$F$2:$F$10,MATCH(E8,Teilnehmer!$A$2:$A$10,0))&gt;0,INDEX(Teilnehmer!$F$2:$F$10,MATCH(J8,Teilnehmer!$A$2:$A$10,0))&gt;0),G8/INDEX(Teilnehmer!$F$2:$F$10,MATCH(E8,Teilnehmer!$A$2:$A$10,0)),G8)&gt;IF(AND(INDEX(Teilnehmer!$F$2:$F$10,MATCH(E8,Teilnehmer!$A$2:$A$10,0))&gt;0,INDEX(Teilnehmer!$F$2:$F$10,MATCH(J8,Teilnehmer!$A$2:$A$10,0))&gt;0),L8/INDEX(Teilnehmer!$F$2:$F$10,MATCH(J8,Teilnehmer!$A$2:$A$10,0)),L8),2,IF(IF(AND(INDEX(Teilnehmer!$F$2:$F$10,MATCH(E8,Teilnehmer!$A$2:$A$10,0))&gt;0,INDEX(Teilnehmer!$F$2:$F$10,MATCH(J8,Teilnehmer!$A$2:$A$10,0))&gt;0),G8/INDEX(Teilnehmer!$F$2:$F$10,MATCH(E8,Teilnehmer!$A$2:$A$10,0)),G8)=IF(AND(INDEX(Teilnehmer!$F$2:$F$10,MATCH(E8,Teilnehmer!$A$2:$A$10,0))&gt;0,INDEX(Teilnehmer!$F$2:$F$10,MATCH(J8,Teilnehmer!$A$2:$A$10,0))&gt;0),L8/INDEX(Teilnehmer!$F$2:$F$10,MATCH(J8,Teilnehmer!$A$2:$A$10,0)),L8),1,0)))</x:f>
      </x:c>
      <x:c r="R8" s="8" t="str">
        <x:f>IF(NOT(ISNUMBER(Q8)),"",2-Q8)</x:f>
      </x:c>
    </x:row>
    <x:row r="9" ht="23" customHeight="1">
      <x:c r="A9" s="1" t="n">
        <x:v>2</x:v>
      </x:c>
      <x:c r="B9" s="1" t="n">
        <x:v>1</x:v>
      </x:c>
      <x:c r="C9" s="1" t="n">
        <x:v>2</x:v>
      </x:c>
      <x:c r="D9" s="1" t="str">
        <x:v>A</x:v>
      </x:c>
      <x:c r="E9" s="1" t="n">
        <x:v>4</x:v>
      </x:c>
      <x:c r="F9" s="1" t="str">
        <x:f>IF(E9="","",INDEX(Teilnehmer!$B$2:$B$10,MATCH(E9,Teilnehmer!$A$2:$A$10,0)))</x:f>
      </x:c>
      <x:c r="G9" s="8"/>
      <x:c r="H9" s="8"/>
      <x:c r="I9" s="8"/>
      <x:c r="J9" s="1" t="n">
        <x:v>5</x:v>
      </x:c>
      <x:c r="K9" s="1" t="str">
        <x:f>IF(J9="","",INDEX(Teilnehmer!$B$2:$B$10,MATCH(J9,Teilnehmer!$A$2:$A$10,0)))</x:f>
      </x:c>
      <x:c r="L9" s="8"/>
      <x:c r="M9" s="8"/>
      <x:c r="N9" s="8"/>
      <x:c r="O9" s="9" t="str">
        <x:f>IF(OR(NOT(ISNUMBER(G9)),NOT(ISNUMBER(H9)),H9=0),"",G9/H9)</x:f>
      </x:c>
      <x:c r="P9" s="9" t="str">
        <x:f>IF(OR(NOT(ISNUMBER(L9)),NOT(ISNUMBER(M9)),M9=0),"",L9/M9)</x:f>
      </x:c>
      <x:c r="Q9" s="8" t="str">
        <x:f>IF(OR(NOT(ISNUMBER(G9)),NOT(ISNUMBER(L9)),E9="",J9=""),"",IF(IF(AND(INDEX(Teilnehmer!$F$2:$F$10,MATCH(E9,Teilnehmer!$A$2:$A$10,0))&gt;0,INDEX(Teilnehmer!$F$2:$F$10,MATCH(J9,Teilnehmer!$A$2:$A$10,0))&gt;0),G9/INDEX(Teilnehmer!$F$2:$F$10,MATCH(E9,Teilnehmer!$A$2:$A$10,0)),G9)&gt;IF(AND(INDEX(Teilnehmer!$F$2:$F$10,MATCH(E9,Teilnehmer!$A$2:$A$10,0))&gt;0,INDEX(Teilnehmer!$F$2:$F$10,MATCH(J9,Teilnehmer!$A$2:$A$10,0))&gt;0),L9/INDEX(Teilnehmer!$F$2:$F$10,MATCH(J9,Teilnehmer!$A$2:$A$10,0)),L9),2,IF(IF(AND(INDEX(Teilnehmer!$F$2:$F$10,MATCH(E9,Teilnehmer!$A$2:$A$10,0))&gt;0,INDEX(Teilnehmer!$F$2:$F$10,MATCH(J9,Teilnehmer!$A$2:$A$10,0))&gt;0),G9/INDEX(Teilnehmer!$F$2:$F$10,MATCH(E9,Teilnehmer!$A$2:$A$10,0)),G9)=IF(AND(INDEX(Teilnehmer!$F$2:$F$10,MATCH(E9,Teilnehmer!$A$2:$A$10,0))&gt;0,INDEX(Teilnehmer!$F$2:$F$10,MATCH(J9,Teilnehmer!$A$2:$A$10,0))&gt;0),L9/INDEX(Teilnehmer!$F$2:$F$10,MATCH(J9,Teilnehmer!$A$2:$A$10,0)),L9),1,0)))</x:f>
      </x:c>
      <x:c r="R9" s="8" t="str">
        <x:f>IF(NOT(ISNUMBER(Q9)),"",2-Q9)</x:f>
      </x:c>
    </x:row>
    <x:row r="10" ht="23" customHeight="1">
      <x:c r="A10" s="1" t="n">
        <x:v>3</x:v>
      </x:c>
      <x:c r="B10" s="1" t="n">
        <x:v>1</x:v>
      </x:c>
      <x:c r="C10" s="1" t="n">
        <x:v>3</x:v>
      </x:c>
      <x:c r="D10" s="1" t="str">
        <x:v>B</x:v>
      </x:c>
      <x:c r="E10" s="1" t="n">
        <x:v>3</x:v>
      </x:c>
      <x:c r="F10" s="1" t="str">
        <x:f>IF(E10="","",INDEX(Teilnehmer!$B$2:$B$10,MATCH(E10,Teilnehmer!$A$2:$A$10,0)))</x:f>
      </x:c>
      <x:c r="G10" s="8"/>
      <x:c r="H10" s="8"/>
      <x:c r="I10" s="8"/>
      <x:c r="J10" s="1" t="n">
        <x:v>7</x:v>
      </x:c>
      <x:c r="K10" s="1" t="str">
        <x:f>IF(J10="","",INDEX(Teilnehmer!$B$2:$B$10,MATCH(J10,Teilnehmer!$A$2:$A$10,0)))</x:f>
      </x:c>
      <x:c r="L10" s="8"/>
      <x:c r="M10" s="8"/>
      <x:c r="N10" s="8"/>
      <x:c r="O10" s="9" t="str">
        <x:f>IF(OR(NOT(ISNUMBER(G10)),NOT(ISNUMBER(H10)),H10=0),"",G10/H10)</x:f>
      </x:c>
      <x:c r="P10" s="9" t="str">
        <x:f>IF(OR(NOT(ISNUMBER(L10)),NOT(ISNUMBER(M10)),M10=0),"",L10/M10)</x:f>
      </x:c>
      <x:c r="Q10" s="8" t="str">
        <x:f>IF(OR(NOT(ISNUMBER(G10)),NOT(ISNUMBER(L10)),E10="",J10=""),"",IF(IF(AND(INDEX(Teilnehmer!$F$2:$F$10,MATCH(E10,Teilnehmer!$A$2:$A$10,0))&gt;0,INDEX(Teilnehmer!$F$2:$F$10,MATCH(J10,Teilnehmer!$A$2:$A$10,0))&gt;0),G10/INDEX(Teilnehmer!$F$2:$F$10,MATCH(E10,Teilnehmer!$A$2:$A$10,0)),G10)&gt;IF(AND(INDEX(Teilnehmer!$F$2:$F$10,MATCH(E10,Teilnehmer!$A$2:$A$10,0))&gt;0,INDEX(Teilnehmer!$F$2:$F$10,MATCH(J10,Teilnehmer!$A$2:$A$10,0))&gt;0),L10/INDEX(Teilnehmer!$F$2:$F$10,MATCH(J10,Teilnehmer!$A$2:$A$10,0)),L10),2,IF(IF(AND(INDEX(Teilnehmer!$F$2:$F$10,MATCH(E10,Teilnehmer!$A$2:$A$10,0))&gt;0,INDEX(Teilnehmer!$F$2:$F$10,MATCH(J10,Teilnehmer!$A$2:$A$10,0))&gt;0),G10/INDEX(Teilnehmer!$F$2:$F$10,MATCH(E10,Teilnehmer!$A$2:$A$10,0)),G10)=IF(AND(INDEX(Teilnehmer!$F$2:$F$10,MATCH(E10,Teilnehmer!$A$2:$A$10,0))&gt;0,INDEX(Teilnehmer!$F$2:$F$10,MATCH(J10,Teilnehmer!$A$2:$A$10,0))&gt;0),L10/INDEX(Teilnehmer!$F$2:$F$10,MATCH(J10,Teilnehmer!$A$2:$A$10,0)),L10),1,0)))</x:f>
      </x:c>
      <x:c r="R10" s="8" t="str">
        <x:f>IF(NOT(ISNUMBER(Q10)),"",2-Q10)</x:f>
      </x:c>
    </x:row>
    <x:row r="11" ht="23" customHeight="1">
      <x:c r="A11" s="1" t="n">
        <x:v>4</x:v>
      </x:c>
      <x:c r="B11" s="1" t="n">
        <x:v>1</x:v>
      </x:c>
      <x:c r="C11" s="1" t="n">
        <x:v>4</x:v>
      </x:c>
      <x:c r="D11" s="1" t="str">
        <x:v>B</x:v>
      </x:c>
      <x:c r="E11" s="1" t="n">
        <x:v>2</x:v>
      </x:c>
      <x:c r="F11" s="1" t="str">
        <x:f>IF(E11="","",INDEX(Teilnehmer!$B$2:$B$10,MATCH(E11,Teilnehmer!$A$2:$A$10,0)))</x:f>
      </x:c>
      <x:c r="G11" s="8"/>
      <x:c r="H11" s="8"/>
      <x:c r="I11" s="8"/>
      <x:c r="J11" s="1" t="n">
        <x:v>9</x:v>
      </x:c>
      <x:c r="K11" s="1" t="str">
        <x:f>IF(J11="","",INDEX(Teilnehmer!$B$2:$B$10,MATCH(J11,Teilnehmer!$A$2:$A$10,0)))</x:f>
      </x:c>
      <x:c r="L11" s="8"/>
      <x:c r="M11" s="8"/>
      <x:c r="N11" s="8"/>
      <x:c r="O11" s="9" t="str">
        <x:f>IF(OR(NOT(ISNUMBER(G11)),NOT(ISNUMBER(H11)),H11=0),"",G11/H11)</x:f>
      </x:c>
      <x:c r="P11" s="9" t="str">
        <x:f>IF(OR(NOT(ISNUMBER(L11)),NOT(ISNUMBER(M11)),M11=0),"",L11/M11)</x:f>
      </x:c>
      <x:c r="Q11" s="8" t="str">
        <x:f>IF(OR(NOT(ISNUMBER(G11)),NOT(ISNUMBER(L11)),E11="",J11=""),"",IF(IF(AND(INDEX(Teilnehmer!$F$2:$F$10,MATCH(E11,Teilnehmer!$A$2:$A$10,0))&gt;0,INDEX(Teilnehmer!$F$2:$F$10,MATCH(J11,Teilnehmer!$A$2:$A$10,0))&gt;0),G11/INDEX(Teilnehmer!$F$2:$F$10,MATCH(E11,Teilnehmer!$A$2:$A$10,0)),G11)&gt;IF(AND(INDEX(Teilnehmer!$F$2:$F$10,MATCH(E11,Teilnehmer!$A$2:$A$10,0))&gt;0,INDEX(Teilnehmer!$F$2:$F$10,MATCH(J11,Teilnehmer!$A$2:$A$10,0))&gt;0),L11/INDEX(Teilnehmer!$F$2:$F$10,MATCH(J11,Teilnehmer!$A$2:$A$10,0)),L11),2,IF(IF(AND(INDEX(Teilnehmer!$F$2:$F$10,MATCH(E11,Teilnehmer!$A$2:$A$10,0))&gt;0,INDEX(Teilnehmer!$F$2:$F$10,MATCH(J11,Teilnehmer!$A$2:$A$10,0))&gt;0),G11/INDEX(Teilnehmer!$F$2:$F$10,MATCH(E11,Teilnehmer!$A$2:$A$10,0)),G11)=IF(AND(INDEX(Teilnehmer!$F$2:$F$10,MATCH(E11,Teilnehmer!$A$2:$A$10,0))&gt;0,INDEX(Teilnehmer!$F$2:$F$10,MATCH(J11,Teilnehmer!$A$2:$A$10,0))&gt;0),L11/INDEX(Teilnehmer!$F$2:$F$10,MATCH(J11,Teilnehmer!$A$2:$A$10,0)),L11),1,0)))</x:f>
      </x:c>
      <x:c r="R11" s="8" t="str">
        <x:f>IF(NOT(ISNUMBER(Q11)),"",2-Q11)</x:f>
      </x:c>
    </x:row>
    <x:row r="12" ht="23" customHeight="1">
      <x:c r="A12" s="1" t="n">
        <x:v>5</x:v>
      </x:c>
      <x:c r="B12" s="1" t="n">
        <x:v>2</x:v>
      </x:c>
      <x:c r="C12" s="1" t="n">
        <x:v>1</x:v>
      </x:c>
      <x:c r="D12" s="1" t="str">
        <x:v>A</x:v>
      </x:c>
      <x:c r="E12" s="1" t="n">
        <x:v>1</x:v>
      </x:c>
      <x:c r="F12" s="1" t="str">
        <x:f>IF(E12="","",INDEX(Teilnehmer!$B$2:$B$10,MATCH(E12,Teilnehmer!$A$2:$A$10,0)))</x:f>
      </x:c>
      <x:c r="G12" s="8"/>
      <x:c r="H12" s="8"/>
      <x:c r="I12" s="8"/>
      <x:c r="J12" s="1" t="n">
        <x:v>5</x:v>
      </x:c>
      <x:c r="K12" s="1" t="str">
        <x:f>IF(J12="","",INDEX(Teilnehmer!$B$2:$B$10,MATCH(J12,Teilnehmer!$A$2:$A$10,0)))</x:f>
      </x:c>
      <x:c r="L12" s="8"/>
      <x:c r="M12" s="8"/>
      <x:c r="N12" s="8"/>
      <x:c r="O12" s="9" t="str">
        <x:f>IF(OR(NOT(ISNUMBER(G12)),NOT(ISNUMBER(H12)),H12=0),"",G12/H12)</x:f>
      </x:c>
      <x:c r="P12" s="9" t="str">
        <x:f>IF(OR(NOT(ISNUMBER(L12)),NOT(ISNUMBER(M12)),M12=0),"",L12/M12)</x:f>
      </x:c>
      <x:c r="Q12" s="8" t="str">
        <x:f>IF(OR(NOT(ISNUMBER(G12)),NOT(ISNUMBER(L12)),E12="",J12=""),"",IF(IF(AND(INDEX(Teilnehmer!$F$2:$F$10,MATCH(E12,Teilnehmer!$A$2:$A$10,0))&gt;0,INDEX(Teilnehmer!$F$2:$F$10,MATCH(J12,Teilnehmer!$A$2:$A$10,0))&gt;0),G12/INDEX(Teilnehmer!$F$2:$F$10,MATCH(E12,Teilnehmer!$A$2:$A$10,0)),G12)&gt;IF(AND(INDEX(Teilnehmer!$F$2:$F$10,MATCH(E12,Teilnehmer!$A$2:$A$10,0))&gt;0,INDEX(Teilnehmer!$F$2:$F$10,MATCH(J12,Teilnehmer!$A$2:$A$10,0))&gt;0),L12/INDEX(Teilnehmer!$F$2:$F$10,MATCH(J12,Teilnehmer!$A$2:$A$10,0)),L12),2,IF(IF(AND(INDEX(Teilnehmer!$F$2:$F$10,MATCH(E12,Teilnehmer!$A$2:$A$10,0))&gt;0,INDEX(Teilnehmer!$F$2:$F$10,MATCH(J12,Teilnehmer!$A$2:$A$10,0))&gt;0),G12/INDEX(Teilnehmer!$F$2:$F$10,MATCH(E12,Teilnehmer!$A$2:$A$10,0)),G12)=IF(AND(INDEX(Teilnehmer!$F$2:$F$10,MATCH(E12,Teilnehmer!$A$2:$A$10,0))&gt;0,INDEX(Teilnehmer!$F$2:$F$10,MATCH(J12,Teilnehmer!$A$2:$A$10,0))&gt;0),L12/INDEX(Teilnehmer!$F$2:$F$10,MATCH(J12,Teilnehmer!$A$2:$A$10,0)),L12),1,0)))</x:f>
      </x:c>
      <x:c r="R12" s="8" t="str">
        <x:f>IF(NOT(ISNUMBER(Q12)),"",2-Q12)</x:f>
      </x:c>
    </x:row>
    <x:row r="13" ht="23" customHeight="1">
      <x:c r="A13" s="1" t="n">
        <x:v>6</x:v>
      </x:c>
      <x:c r="B13" s="1" t="n">
        <x:v>2</x:v>
      </x:c>
      <x:c r="C13" s="1" t="n">
        <x:v>2</x:v>
      </x:c>
      <x:c r="D13" s="1" t="str">
        <x:v>A</x:v>
      </x:c>
      <x:c r="E13" s="1" t="n">
        <x:v>4</x:v>
      </x:c>
      <x:c r="F13" s="1" t="str">
        <x:f>IF(E13="","",INDEX(Teilnehmer!$B$2:$B$10,MATCH(E13,Teilnehmer!$A$2:$A$10,0)))</x:f>
      </x:c>
      <x:c r="G13" s="8"/>
      <x:c r="H13" s="8"/>
      <x:c r="I13" s="8"/>
      <x:c r="J13" s="1" t="n">
        <x:v>8</x:v>
      </x:c>
      <x:c r="K13" s="1" t="str">
        <x:f>IF(J13="","",INDEX(Teilnehmer!$B$2:$B$10,MATCH(J13,Teilnehmer!$A$2:$A$10,0)))</x:f>
      </x:c>
      <x:c r="L13" s="8"/>
      <x:c r="M13" s="8"/>
      <x:c r="N13" s="8"/>
      <x:c r="O13" s="9" t="str">
        <x:f>IF(OR(NOT(ISNUMBER(G13)),NOT(ISNUMBER(H13)),H13=0),"",G13/H13)</x:f>
      </x:c>
      <x:c r="P13" s="9" t="str">
        <x:f>IF(OR(NOT(ISNUMBER(L13)),NOT(ISNUMBER(M13)),M13=0),"",L13/M13)</x:f>
      </x:c>
      <x:c r="Q13" s="8" t="str">
        <x:f>IF(OR(NOT(ISNUMBER(G13)),NOT(ISNUMBER(L13)),E13="",J13=""),"",IF(IF(AND(INDEX(Teilnehmer!$F$2:$F$10,MATCH(E13,Teilnehmer!$A$2:$A$10,0))&gt;0,INDEX(Teilnehmer!$F$2:$F$10,MATCH(J13,Teilnehmer!$A$2:$A$10,0))&gt;0),G13/INDEX(Teilnehmer!$F$2:$F$10,MATCH(E13,Teilnehmer!$A$2:$A$10,0)),G13)&gt;IF(AND(INDEX(Teilnehmer!$F$2:$F$10,MATCH(E13,Teilnehmer!$A$2:$A$10,0))&gt;0,INDEX(Teilnehmer!$F$2:$F$10,MATCH(J13,Teilnehmer!$A$2:$A$10,0))&gt;0),L13/INDEX(Teilnehmer!$F$2:$F$10,MATCH(J13,Teilnehmer!$A$2:$A$10,0)),L13),2,IF(IF(AND(INDEX(Teilnehmer!$F$2:$F$10,MATCH(E13,Teilnehmer!$A$2:$A$10,0))&gt;0,INDEX(Teilnehmer!$F$2:$F$10,MATCH(J13,Teilnehmer!$A$2:$A$10,0))&gt;0),G13/INDEX(Teilnehmer!$F$2:$F$10,MATCH(E13,Teilnehmer!$A$2:$A$10,0)),G13)=IF(AND(INDEX(Teilnehmer!$F$2:$F$10,MATCH(E13,Teilnehmer!$A$2:$A$10,0))&gt;0,INDEX(Teilnehmer!$F$2:$F$10,MATCH(J13,Teilnehmer!$A$2:$A$10,0))&gt;0),L13/INDEX(Teilnehmer!$F$2:$F$10,MATCH(J13,Teilnehmer!$A$2:$A$10,0)),L13),1,0)))</x:f>
      </x:c>
      <x:c r="R13" s="8" t="str">
        <x:f>IF(NOT(ISNUMBER(Q13)),"",2-Q13)</x:f>
      </x:c>
    </x:row>
    <x:row r="14" ht="23" customHeight="1">
      <x:c r="A14" s="1" t="n">
        <x:v>7</x:v>
      </x:c>
      <x:c r="B14" s="1" t="n">
        <x:v>2</x:v>
      </x:c>
      <x:c r="C14" s="1" t="n">
        <x:v>3</x:v>
      </x:c>
      <x:c r="D14" s="1" t="str">
        <x:v>B</x:v>
      </x:c>
      <x:c r="E14" s="1" t="n">
        <x:v>2</x:v>
      </x:c>
      <x:c r="F14" s="1" t="str">
        <x:f>IF(E14="","",INDEX(Teilnehmer!$B$2:$B$10,MATCH(E14,Teilnehmer!$A$2:$A$10,0)))</x:f>
      </x:c>
      <x:c r="G14" s="8"/>
      <x:c r="H14" s="8"/>
      <x:c r="I14" s="8"/>
      <x:c r="J14" s="1" t="n">
        <x:v>7</x:v>
      </x:c>
      <x:c r="K14" s="1" t="str">
        <x:f>IF(J14="","",INDEX(Teilnehmer!$B$2:$B$10,MATCH(J14,Teilnehmer!$A$2:$A$10,0)))</x:f>
      </x:c>
      <x:c r="L14" s="8"/>
      <x:c r="M14" s="8"/>
      <x:c r="N14" s="8"/>
      <x:c r="O14" s="9" t="str">
        <x:f>IF(OR(NOT(ISNUMBER(G14)),NOT(ISNUMBER(H14)),H14=0),"",G14/H14)</x:f>
      </x:c>
      <x:c r="P14" s="9" t="str">
        <x:f>IF(OR(NOT(ISNUMBER(L14)),NOT(ISNUMBER(M14)),M14=0),"",L14/M14)</x:f>
      </x:c>
      <x:c r="Q14" s="8" t="str">
        <x:f>IF(OR(NOT(ISNUMBER(G14)),NOT(ISNUMBER(L14)),E14="",J14=""),"",IF(IF(AND(INDEX(Teilnehmer!$F$2:$F$10,MATCH(E14,Teilnehmer!$A$2:$A$10,0))&gt;0,INDEX(Teilnehmer!$F$2:$F$10,MATCH(J14,Teilnehmer!$A$2:$A$10,0))&gt;0),G14/INDEX(Teilnehmer!$F$2:$F$10,MATCH(E14,Teilnehmer!$A$2:$A$10,0)),G14)&gt;IF(AND(INDEX(Teilnehmer!$F$2:$F$10,MATCH(E14,Teilnehmer!$A$2:$A$10,0))&gt;0,INDEX(Teilnehmer!$F$2:$F$10,MATCH(J14,Teilnehmer!$A$2:$A$10,0))&gt;0),L14/INDEX(Teilnehmer!$F$2:$F$10,MATCH(J14,Teilnehmer!$A$2:$A$10,0)),L14),2,IF(IF(AND(INDEX(Teilnehmer!$F$2:$F$10,MATCH(E14,Teilnehmer!$A$2:$A$10,0))&gt;0,INDEX(Teilnehmer!$F$2:$F$10,MATCH(J14,Teilnehmer!$A$2:$A$10,0))&gt;0),G14/INDEX(Teilnehmer!$F$2:$F$10,MATCH(E14,Teilnehmer!$A$2:$A$10,0)),G14)=IF(AND(INDEX(Teilnehmer!$F$2:$F$10,MATCH(E14,Teilnehmer!$A$2:$A$10,0))&gt;0,INDEX(Teilnehmer!$F$2:$F$10,MATCH(J14,Teilnehmer!$A$2:$A$10,0))&gt;0),L14/INDEX(Teilnehmer!$F$2:$F$10,MATCH(J14,Teilnehmer!$A$2:$A$10,0)),L14),1,0)))</x:f>
      </x:c>
      <x:c r="R14" s="8" t="str">
        <x:f>IF(NOT(ISNUMBER(Q14)),"",2-Q14)</x:f>
      </x:c>
    </x:row>
    <x:row r="15" ht="23" customHeight="1">
      <x:c r="A15" s="1" t="n">
        <x:v>8</x:v>
      </x:c>
      <x:c r="B15" s="1" t="n">
        <x:v>2</x:v>
      </x:c>
      <x:c r="C15" s="1" t="n">
        <x:v>4</x:v>
      </x:c>
      <x:c r="D15" s="1" t="str">
        <x:v>B</x:v>
      </x:c>
      <x:c r="E15" s="1" t="n">
        <x:v>3</x:v>
      </x:c>
      <x:c r="F15" s="1" t="str">
        <x:f>IF(E15="","",INDEX(Teilnehmer!$B$2:$B$10,MATCH(E15,Teilnehmer!$A$2:$A$10,0)))</x:f>
      </x:c>
      <x:c r="G15" s="8"/>
      <x:c r="H15" s="8"/>
      <x:c r="I15" s="8"/>
      <x:c r="J15" s="1" t="n">
        <x:v>6</x:v>
      </x:c>
      <x:c r="K15" s="1" t="str">
        <x:f>IF(J15="","",INDEX(Teilnehmer!$B$2:$B$10,MATCH(J15,Teilnehmer!$A$2:$A$10,0)))</x:f>
      </x:c>
      <x:c r="L15" s="8"/>
      <x:c r="M15" s="8"/>
      <x:c r="N15" s="8"/>
      <x:c r="O15" s="9" t="str">
        <x:f>IF(OR(NOT(ISNUMBER(G15)),NOT(ISNUMBER(H15)),H15=0),"",G15/H15)</x:f>
      </x:c>
      <x:c r="P15" s="9" t="str">
        <x:f>IF(OR(NOT(ISNUMBER(L15)),NOT(ISNUMBER(M15)),M15=0),"",L15/M15)</x:f>
      </x:c>
      <x:c r="Q15" s="8" t="str">
        <x:f>IF(OR(NOT(ISNUMBER(G15)),NOT(ISNUMBER(L15)),E15="",J15=""),"",IF(IF(AND(INDEX(Teilnehmer!$F$2:$F$10,MATCH(E15,Teilnehmer!$A$2:$A$10,0))&gt;0,INDEX(Teilnehmer!$F$2:$F$10,MATCH(J15,Teilnehmer!$A$2:$A$10,0))&gt;0),G15/INDEX(Teilnehmer!$F$2:$F$10,MATCH(E15,Teilnehmer!$A$2:$A$10,0)),G15)&gt;IF(AND(INDEX(Teilnehmer!$F$2:$F$10,MATCH(E15,Teilnehmer!$A$2:$A$10,0))&gt;0,INDEX(Teilnehmer!$F$2:$F$10,MATCH(J15,Teilnehmer!$A$2:$A$10,0))&gt;0),L15/INDEX(Teilnehmer!$F$2:$F$10,MATCH(J15,Teilnehmer!$A$2:$A$10,0)),L15),2,IF(IF(AND(INDEX(Teilnehmer!$F$2:$F$10,MATCH(E15,Teilnehmer!$A$2:$A$10,0))&gt;0,INDEX(Teilnehmer!$F$2:$F$10,MATCH(J15,Teilnehmer!$A$2:$A$10,0))&gt;0),G15/INDEX(Teilnehmer!$F$2:$F$10,MATCH(E15,Teilnehmer!$A$2:$A$10,0)),G15)=IF(AND(INDEX(Teilnehmer!$F$2:$F$10,MATCH(E15,Teilnehmer!$A$2:$A$10,0))&gt;0,INDEX(Teilnehmer!$F$2:$F$10,MATCH(J15,Teilnehmer!$A$2:$A$10,0))&gt;0),L15/INDEX(Teilnehmer!$F$2:$F$10,MATCH(J15,Teilnehmer!$A$2:$A$10,0)),L15),1,0)))</x:f>
      </x:c>
      <x:c r="R15" s="8" t="str">
        <x:f>IF(NOT(ISNUMBER(Q15)),"",2-Q15)</x:f>
      </x:c>
    </x:row>
    <x:row r="16" ht="23" customHeight="1">
      <x:c r="A16" s="1" t="n">
        <x:v>9</x:v>
      </x:c>
      <x:c r="B16" s="1" t="n">
        <x:v>3</x:v>
      </x:c>
      <x:c r="C16" s="1" t="n">
        <x:v>1</x:v>
      </x:c>
      <x:c r="D16" s="1" t="str">
        <x:v>A</x:v>
      </x:c>
      <x:c r="E16" s="1" t="n">
        <x:v>1</x:v>
      </x:c>
      <x:c r="F16" s="1" t="str">
        <x:f>IF(E16="","",INDEX(Teilnehmer!$B$2:$B$10,MATCH(E16,Teilnehmer!$A$2:$A$10,0)))</x:f>
      </x:c>
      <x:c r="G16" s="8"/>
      <x:c r="H16" s="8"/>
      <x:c r="I16" s="8"/>
      <x:c r="J16" s="1" t="n">
        <x:v>4</x:v>
      </x:c>
      <x:c r="K16" s="1" t="str">
        <x:f>IF(J16="","",INDEX(Teilnehmer!$B$2:$B$10,MATCH(J16,Teilnehmer!$A$2:$A$10,0)))</x:f>
      </x:c>
      <x:c r="L16" s="8"/>
      <x:c r="M16" s="8"/>
      <x:c r="N16" s="8"/>
      <x:c r="O16" s="9" t="str">
        <x:f>IF(OR(NOT(ISNUMBER(G16)),NOT(ISNUMBER(H16)),H16=0),"",G16/H16)</x:f>
      </x:c>
      <x:c r="P16" s="9" t="str">
        <x:f>IF(OR(NOT(ISNUMBER(L16)),NOT(ISNUMBER(M16)),M16=0),"",L16/M16)</x:f>
      </x:c>
      <x:c r="Q16" s="8" t="str">
        <x:f>IF(OR(NOT(ISNUMBER(G16)),NOT(ISNUMBER(L16)),E16="",J16=""),"",IF(IF(AND(INDEX(Teilnehmer!$F$2:$F$10,MATCH(E16,Teilnehmer!$A$2:$A$10,0))&gt;0,INDEX(Teilnehmer!$F$2:$F$10,MATCH(J16,Teilnehmer!$A$2:$A$10,0))&gt;0),G16/INDEX(Teilnehmer!$F$2:$F$10,MATCH(E16,Teilnehmer!$A$2:$A$10,0)),G16)&gt;IF(AND(INDEX(Teilnehmer!$F$2:$F$10,MATCH(E16,Teilnehmer!$A$2:$A$10,0))&gt;0,INDEX(Teilnehmer!$F$2:$F$10,MATCH(J16,Teilnehmer!$A$2:$A$10,0))&gt;0),L16/INDEX(Teilnehmer!$F$2:$F$10,MATCH(J16,Teilnehmer!$A$2:$A$10,0)),L16),2,IF(IF(AND(INDEX(Teilnehmer!$F$2:$F$10,MATCH(E16,Teilnehmer!$A$2:$A$10,0))&gt;0,INDEX(Teilnehmer!$F$2:$F$10,MATCH(J16,Teilnehmer!$A$2:$A$10,0))&gt;0),G16/INDEX(Teilnehmer!$F$2:$F$10,MATCH(E16,Teilnehmer!$A$2:$A$10,0)),G16)=IF(AND(INDEX(Teilnehmer!$F$2:$F$10,MATCH(E16,Teilnehmer!$A$2:$A$10,0))&gt;0,INDEX(Teilnehmer!$F$2:$F$10,MATCH(J16,Teilnehmer!$A$2:$A$10,0))&gt;0),L16/INDEX(Teilnehmer!$F$2:$F$10,MATCH(J16,Teilnehmer!$A$2:$A$10,0)),L16),1,0)))</x:f>
      </x:c>
      <x:c r="R16" s="8" t="str">
        <x:f>IF(NOT(ISNUMBER(Q16)),"",2-Q16)</x:f>
      </x:c>
    </x:row>
    <x:row r="17" ht="23" customHeight="1">
      <x:c r="A17" s="1" t="n">
        <x:v>10</x:v>
      </x:c>
      <x:c r="B17" s="1" t="n">
        <x:v>3</x:v>
      </x:c>
      <x:c r="C17" s="1" t="n">
        <x:v>2</x:v>
      </x:c>
      <x:c r="D17" s="1" t="str">
        <x:v>A</x:v>
      </x:c>
      <x:c r="E17" s="1" t="n">
        <x:v>5</x:v>
      </x:c>
      <x:c r="F17" s="1" t="str">
        <x:f>IF(E17="","",INDEX(Teilnehmer!$B$2:$B$10,MATCH(E17,Teilnehmer!$A$2:$A$10,0)))</x:f>
      </x:c>
      <x:c r="G17" s="8"/>
      <x:c r="H17" s="8"/>
      <x:c r="I17" s="8"/>
      <x:c r="J17" s="1" t="n">
        <x:v>8</x:v>
      </x:c>
      <x:c r="K17" s="1" t="str">
        <x:f>IF(J17="","",INDEX(Teilnehmer!$B$2:$B$10,MATCH(J17,Teilnehmer!$A$2:$A$10,0)))</x:f>
      </x:c>
      <x:c r="L17" s="8"/>
      <x:c r="M17" s="8"/>
      <x:c r="N17" s="8"/>
      <x:c r="O17" s="9" t="str">
        <x:f>IF(OR(NOT(ISNUMBER(G17)),NOT(ISNUMBER(H17)),H17=0),"",G17/H17)</x:f>
      </x:c>
      <x:c r="P17" s="9" t="str">
        <x:f>IF(OR(NOT(ISNUMBER(L17)),NOT(ISNUMBER(M17)),M17=0),"",L17/M17)</x:f>
      </x:c>
      <x:c r="Q17" s="8" t="str">
        <x:f>IF(OR(NOT(ISNUMBER(G17)),NOT(ISNUMBER(L17)),E17="",J17=""),"",IF(IF(AND(INDEX(Teilnehmer!$F$2:$F$10,MATCH(E17,Teilnehmer!$A$2:$A$10,0))&gt;0,INDEX(Teilnehmer!$F$2:$F$10,MATCH(J17,Teilnehmer!$A$2:$A$10,0))&gt;0),G17/INDEX(Teilnehmer!$F$2:$F$10,MATCH(E17,Teilnehmer!$A$2:$A$10,0)),G17)&gt;IF(AND(INDEX(Teilnehmer!$F$2:$F$10,MATCH(E17,Teilnehmer!$A$2:$A$10,0))&gt;0,INDEX(Teilnehmer!$F$2:$F$10,MATCH(J17,Teilnehmer!$A$2:$A$10,0))&gt;0),L17/INDEX(Teilnehmer!$F$2:$F$10,MATCH(J17,Teilnehmer!$A$2:$A$10,0)),L17),2,IF(IF(AND(INDEX(Teilnehmer!$F$2:$F$10,MATCH(E17,Teilnehmer!$A$2:$A$10,0))&gt;0,INDEX(Teilnehmer!$F$2:$F$10,MATCH(J17,Teilnehmer!$A$2:$A$10,0))&gt;0),G17/INDEX(Teilnehmer!$F$2:$F$10,MATCH(E17,Teilnehmer!$A$2:$A$10,0)),G17)=IF(AND(INDEX(Teilnehmer!$F$2:$F$10,MATCH(E17,Teilnehmer!$A$2:$A$10,0))&gt;0,INDEX(Teilnehmer!$F$2:$F$10,MATCH(J17,Teilnehmer!$A$2:$A$10,0))&gt;0),L17/INDEX(Teilnehmer!$F$2:$F$10,MATCH(J17,Teilnehmer!$A$2:$A$10,0)),L17),1,0)))</x:f>
      </x:c>
      <x:c r="R17" s="8" t="str">
        <x:f>IF(NOT(ISNUMBER(Q17)),"",2-Q17)</x:f>
      </x:c>
    </x:row>
    <x:row r="18" ht="23" customHeight="1">
      <x:c r="A18" s="1" t="n">
        <x:v>11</x:v>
      </x:c>
      <x:c r="B18" s="1" t="n">
        <x:v>3</x:v>
      </x:c>
      <x:c r="C18" s="1" t="n">
        <x:v>3</x:v>
      </x:c>
      <x:c r="D18" s="1" t="str">
        <x:v>B</x:v>
      </x:c>
      <x:c r="E18" s="1" t="n">
        <x:v>3</x:v>
      </x:c>
      <x:c r="F18" s="1" t="str">
        <x:f>IF(E18="","",INDEX(Teilnehmer!$B$2:$B$10,MATCH(E18,Teilnehmer!$A$2:$A$10,0)))</x:f>
      </x:c>
      <x:c r="G18" s="8"/>
      <x:c r="H18" s="8"/>
      <x:c r="I18" s="8"/>
      <x:c r="J18" s="1" t="n">
        <x:v>9</x:v>
      </x:c>
      <x:c r="K18" s="1" t="str">
        <x:f>IF(J18="","",INDEX(Teilnehmer!$B$2:$B$10,MATCH(J18,Teilnehmer!$A$2:$A$10,0)))</x:f>
      </x:c>
      <x:c r="L18" s="8"/>
      <x:c r="M18" s="8"/>
      <x:c r="N18" s="8"/>
      <x:c r="O18" s="9" t="str">
        <x:f>IF(OR(NOT(ISNUMBER(G18)),NOT(ISNUMBER(H18)),H18=0),"",G18/H18)</x:f>
      </x:c>
      <x:c r="P18" s="9" t="str">
        <x:f>IF(OR(NOT(ISNUMBER(L18)),NOT(ISNUMBER(M18)),M18=0),"",L18/M18)</x:f>
      </x:c>
      <x:c r="Q18" s="8" t="str">
        <x:f>IF(OR(NOT(ISNUMBER(G18)),NOT(ISNUMBER(L18)),E18="",J18=""),"",IF(IF(AND(INDEX(Teilnehmer!$F$2:$F$10,MATCH(E18,Teilnehmer!$A$2:$A$10,0))&gt;0,INDEX(Teilnehmer!$F$2:$F$10,MATCH(J18,Teilnehmer!$A$2:$A$10,0))&gt;0),G18/INDEX(Teilnehmer!$F$2:$F$10,MATCH(E18,Teilnehmer!$A$2:$A$10,0)),G18)&gt;IF(AND(INDEX(Teilnehmer!$F$2:$F$10,MATCH(E18,Teilnehmer!$A$2:$A$10,0))&gt;0,INDEX(Teilnehmer!$F$2:$F$10,MATCH(J18,Teilnehmer!$A$2:$A$10,0))&gt;0),L18/INDEX(Teilnehmer!$F$2:$F$10,MATCH(J18,Teilnehmer!$A$2:$A$10,0)),L18),2,IF(IF(AND(INDEX(Teilnehmer!$F$2:$F$10,MATCH(E18,Teilnehmer!$A$2:$A$10,0))&gt;0,INDEX(Teilnehmer!$F$2:$F$10,MATCH(J18,Teilnehmer!$A$2:$A$10,0))&gt;0),G18/INDEX(Teilnehmer!$F$2:$F$10,MATCH(E18,Teilnehmer!$A$2:$A$10,0)),G18)=IF(AND(INDEX(Teilnehmer!$F$2:$F$10,MATCH(E18,Teilnehmer!$A$2:$A$10,0))&gt;0,INDEX(Teilnehmer!$F$2:$F$10,MATCH(J18,Teilnehmer!$A$2:$A$10,0))&gt;0),L18/INDEX(Teilnehmer!$F$2:$F$10,MATCH(J18,Teilnehmer!$A$2:$A$10,0)),L18),1,0)))</x:f>
      </x:c>
      <x:c r="R18" s="8" t="str">
        <x:f>IF(NOT(ISNUMBER(Q18)),"",2-Q18)</x:f>
      </x:c>
    </x:row>
    <x:row r="19" ht="23" customHeight="1">
      <x:c r="A19" s="1" t="n">
        <x:v>12</x:v>
      </x:c>
      <x:c r="B19" s="1" t="n">
        <x:v>3</x:v>
      </x:c>
      <x:c r="C19" s="1" t="n">
        <x:v>4</x:v>
      </x:c>
      <x:c r="D19" s="1" t="str">
        <x:v>B</x:v>
      </x:c>
      <x:c r="E19" s="1" t="n">
        <x:v>6</x:v>
      </x:c>
      <x:c r="F19" s="1" t="str">
        <x:f>IF(E19="","",INDEX(Teilnehmer!$B$2:$B$10,MATCH(E19,Teilnehmer!$A$2:$A$10,0)))</x:f>
      </x:c>
      <x:c r="G19" s="8"/>
      <x:c r="H19" s="8"/>
      <x:c r="I19" s="8"/>
      <x:c r="J19" s="1" t="n">
        <x:v>7</x:v>
      </x:c>
      <x:c r="K19" s="1" t="str">
        <x:f>IF(J19="","",INDEX(Teilnehmer!$B$2:$B$10,MATCH(J19,Teilnehmer!$A$2:$A$10,0)))</x:f>
      </x:c>
      <x:c r="L19" s="8"/>
      <x:c r="M19" s="8"/>
      <x:c r="N19" s="8"/>
      <x:c r="O19" s="9" t="str">
        <x:f>IF(OR(NOT(ISNUMBER(G19)),NOT(ISNUMBER(H19)),H19=0),"",G19/H19)</x:f>
      </x:c>
      <x:c r="P19" s="9" t="str">
        <x:f>IF(OR(NOT(ISNUMBER(L19)),NOT(ISNUMBER(M19)),M19=0),"",L19/M19)</x:f>
      </x:c>
      <x:c r="Q19" s="8" t="str">
        <x:f>IF(OR(NOT(ISNUMBER(G19)),NOT(ISNUMBER(L19)),E19="",J19=""),"",IF(IF(AND(INDEX(Teilnehmer!$F$2:$F$10,MATCH(E19,Teilnehmer!$A$2:$A$10,0))&gt;0,INDEX(Teilnehmer!$F$2:$F$10,MATCH(J19,Teilnehmer!$A$2:$A$10,0))&gt;0),G19/INDEX(Teilnehmer!$F$2:$F$10,MATCH(E19,Teilnehmer!$A$2:$A$10,0)),G19)&gt;IF(AND(INDEX(Teilnehmer!$F$2:$F$10,MATCH(E19,Teilnehmer!$A$2:$A$10,0))&gt;0,INDEX(Teilnehmer!$F$2:$F$10,MATCH(J19,Teilnehmer!$A$2:$A$10,0))&gt;0),L19/INDEX(Teilnehmer!$F$2:$F$10,MATCH(J19,Teilnehmer!$A$2:$A$10,0)),L19),2,IF(IF(AND(INDEX(Teilnehmer!$F$2:$F$10,MATCH(E19,Teilnehmer!$A$2:$A$10,0))&gt;0,INDEX(Teilnehmer!$F$2:$F$10,MATCH(J19,Teilnehmer!$A$2:$A$10,0))&gt;0),G19/INDEX(Teilnehmer!$F$2:$F$10,MATCH(E19,Teilnehmer!$A$2:$A$10,0)),G19)=IF(AND(INDEX(Teilnehmer!$F$2:$F$10,MATCH(E19,Teilnehmer!$A$2:$A$10,0))&gt;0,INDEX(Teilnehmer!$F$2:$F$10,MATCH(J19,Teilnehmer!$A$2:$A$10,0))&gt;0),L19/INDEX(Teilnehmer!$F$2:$F$10,MATCH(J19,Teilnehmer!$A$2:$A$10,0)),L19),1,0)))</x:f>
      </x:c>
      <x:c r="R19" s="8" t="str">
        <x:f>IF(NOT(ISNUMBER(Q19)),"",2-Q19)</x:f>
      </x:c>
    </x:row>
    <x:row r="20" ht="23" customHeight="1">
      <x:c r="A20" s="1" t="n">
        <x:v>13</x:v>
      </x:c>
      <x:c r="B20" s="1" t="n">
        <x:v>4</x:v>
      </x:c>
      <x:c r="C20" s="1" t="n">
        <x:v>3</x:v>
      </x:c>
      <x:c r="D20" s="1" t="str">
        <x:v>B</x:v>
      </x:c>
      <x:c r="E20" s="1" t="n">
        <x:v>2</x:v>
      </x:c>
      <x:c r="F20" s="1" t="str">
        <x:f>IF(E20="","",INDEX(Teilnehmer!$B$2:$B$10,MATCH(E20,Teilnehmer!$A$2:$A$10,0)))</x:f>
      </x:c>
      <x:c r="G20" s="8"/>
      <x:c r="H20" s="8"/>
      <x:c r="I20" s="8"/>
      <x:c r="J20" s="1" t="n">
        <x:v>6</x:v>
      </x:c>
      <x:c r="K20" s="1" t="str">
        <x:f>IF(J20="","",INDEX(Teilnehmer!$B$2:$B$10,MATCH(J20,Teilnehmer!$A$2:$A$10,0)))</x:f>
      </x:c>
      <x:c r="L20" s="8"/>
      <x:c r="M20" s="8"/>
      <x:c r="N20" s="8"/>
      <x:c r="O20" s="9" t="str">
        <x:f>IF(OR(NOT(ISNUMBER(G20)),NOT(ISNUMBER(H20)),H20=0),"",G20/H20)</x:f>
      </x:c>
      <x:c r="P20" s="9" t="str">
        <x:f>IF(OR(NOT(ISNUMBER(L20)),NOT(ISNUMBER(M20)),M20=0),"",L20/M20)</x:f>
      </x:c>
      <x:c r="Q20" s="8" t="str">
        <x:f>IF(OR(NOT(ISNUMBER(G20)),NOT(ISNUMBER(L20)),E20="",J20=""),"",IF(IF(AND(INDEX(Teilnehmer!$F$2:$F$10,MATCH(E20,Teilnehmer!$A$2:$A$10,0))&gt;0,INDEX(Teilnehmer!$F$2:$F$10,MATCH(J20,Teilnehmer!$A$2:$A$10,0))&gt;0),G20/INDEX(Teilnehmer!$F$2:$F$10,MATCH(E20,Teilnehmer!$A$2:$A$10,0)),G20)&gt;IF(AND(INDEX(Teilnehmer!$F$2:$F$10,MATCH(E20,Teilnehmer!$A$2:$A$10,0))&gt;0,INDEX(Teilnehmer!$F$2:$F$10,MATCH(J20,Teilnehmer!$A$2:$A$10,0))&gt;0),L20/INDEX(Teilnehmer!$F$2:$F$10,MATCH(J20,Teilnehmer!$A$2:$A$10,0)),L20),2,IF(IF(AND(INDEX(Teilnehmer!$F$2:$F$10,MATCH(E20,Teilnehmer!$A$2:$A$10,0))&gt;0,INDEX(Teilnehmer!$F$2:$F$10,MATCH(J20,Teilnehmer!$A$2:$A$10,0))&gt;0),G20/INDEX(Teilnehmer!$F$2:$F$10,MATCH(E20,Teilnehmer!$A$2:$A$10,0)),G20)=IF(AND(INDEX(Teilnehmer!$F$2:$F$10,MATCH(E20,Teilnehmer!$A$2:$A$10,0))&gt;0,INDEX(Teilnehmer!$F$2:$F$10,MATCH(J20,Teilnehmer!$A$2:$A$10,0))&gt;0),L20/INDEX(Teilnehmer!$F$2:$F$10,MATCH(J20,Teilnehmer!$A$2:$A$10,0)),L20),1,0)))</x:f>
      </x:c>
      <x:c r="R20" s="8" t="str">
        <x:f>IF(NOT(ISNUMBER(Q20)),"",2-Q20)</x:f>
      </x:c>
    </x:row>
    <x:row r="21" ht="23" customHeight="1">
      <x:c r="A21" s="1" t="n">
        <x:v>14</x:v>
      </x:c>
      <x:c r="B21" s="1" t="n">
        <x:v>4</x:v>
      </x:c>
      <x:c r="C21" s="1" t="n">
        <x:v>4</x:v>
      </x:c>
      <x:c r="D21" s="1" t="str">
        <x:v>B</x:v>
      </x:c>
      <x:c r="E21" s="1" t="n">
        <x:v>7</x:v>
      </x:c>
      <x:c r="F21" s="1" t="str">
        <x:f>IF(E21="","",INDEX(Teilnehmer!$B$2:$B$10,MATCH(E21,Teilnehmer!$A$2:$A$10,0)))</x:f>
      </x:c>
      <x:c r="G21" s="8"/>
      <x:c r="H21" s="8"/>
      <x:c r="I21" s="8"/>
      <x:c r="J21" s="1" t="n">
        <x:v>9</x:v>
      </x:c>
      <x:c r="K21" s="1" t="str">
        <x:f>IF(J21="","",INDEX(Teilnehmer!$B$2:$B$10,MATCH(J21,Teilnehmer!$A$2:$A$10,0)))</x:f>
      </x:c>
      <x:c r="L21" s="8"/>
      <x:c r="M21" s="8"/>
      <x:c r="N21" s="8"/>
      <x:c r="O21" s="9" t="str">
        <x:f>IF(OR(NOT(ISNUMBER(G21)),NOT(ISNUMBER(H21)),H21=0),"",G21/H21)</x:f>
      </x:c>
      <x:c r="P21" s="9" t="str">
        <x:f>IF(OR(NOT(ISNUMBER(L21)),NOT(ISNUMBER(M21)),M21=0),"",L21/M21)</x:f>
      </x:c>
      <x:c r="Q21" s="8" t="str">
        <x:f>IF(OR(NOT(ISNUMBER(G21)),NOT(ISNUMBER(L21)),E21="",J21=""),"",IF(IF(AND(INDEX(Teilnehmer!$F$2:$F$10,MATCH(E21,Teilnehmer!$A$2:$A$10,0))&gt;0,INDEX(Teilnehmer!$F$2:$F$10,MATCH(J21,Teilnehmer!$A$2:$A$10,0))&gt;0),G21/INDEX(Teilnehmer!$F$2:$F$10,MATCH(E21,Teilnehmer!$A$2:$A$10,0)),G21)&gt;IF(AND(INDEX(Teilnehmer!$F$2:$F$10,MATCH(E21,Teilnehmer!$A$2:$A$10,0))&gt;0,INDEX(Teilnehmer!$F$2:$F$10,MATCH(J21,Teilnehmer!$A$2:$A$10,0))&gt;0),L21/INDEX(Teilnehmer!$F$2:$F$10,MATCH(J21,Teilnehmer!$A$2:$A$10,0)),L21),2,IF(IF(AND(INDEX(Teilnehmer!$F$2:$F$10,MATCH(E21,Teilnehmer!$A$2:$A$10,0))&gt;0,INDEX(Teilnehmer!$F$2:$F$10,MATCH(J21,Teilnehmer!$A$2:$A$10,0))&gt;0),G21/INDEX(Teilnehmer!$F$2:$F$10,MATCH(E21,Teilnehmer!$A$2:$A$10,0)),G21)=IF(AND(INDEX(Teilnehmer!$F$2:$F$10,MATCH(E21,Teilnehmer!$A$2:$A$10,0))&gt;0,INDEX(Teilnehmer!$F$2:$F$10,MATCH(J21,Teilnehmer!$A$2:$A$10,0))&gt;0),L21/INDEX(Teilnehmer!$F$2:$F$10,MATCH(J21,Teilnehmer!$A$2:$A$10,0)),L21),1,0)))</x:f>
      </x:c>
      <x:c r="R21" s="8" t="str">
        <x:f>IF(NOT(ISNUMBER(Q21)),"",2-Q21)</x:f>
      </x:c>
    </x:row>
    <x:row r="22" ht="23" customHeight="1">
      <x:c r="A22" s="1" t="n">
        <x:v>15</x:v>
      </x:c>
      <x:c r="B22" s="1" t="n">
        <x:v>5</x:v>
      </x:c>
      <x:c r="C22" s="1" t="n">
        <x:v>3</x:v>
      </x:c>
      <x:c r="D22" s="1" t="str">
        <x:v>B</x:v>
      </x:c>
      <x:c r="E22" s="1" t="n">
        <x:v>6</x:v>
      </x:c>
      <x:c r="F22" s="1" t="str">
        <x:f>IF(E22="","",INDEX(Teilnehmer!$B$2:$B$10,MATCH(E22,Teilnehmer!$A$2:$A$10,0)))</x:f>
      </x:c>
      <x:c r="G22" s="8"/>
      <x:c r="H22" s="8"/>
      <x:c r="I22" s="8"/>
      <x:c r="J22" s="1" t="n">
        <x:v>9</x:v>
      </x:c>
      <x:c r="K22" s="1" t="str">
        <x:f>IF(J22="","",INDEX(Teilnehmer!$B$2:$B$10,MATCH(J22,Teilnehmer!$A$2:$A$10,0)))</x:f>
      </x:c>
      <x:c r="L22" s="8"/>
      <x:c r="M22" s="8"/>
      <x:c r="N22" s="8"/>
      <x:c r="O22" s="9" t="str">
        <x:f>IF(OR(NOT(ISNUMBER(G22)),NOT(ISNUMBER(H22)),H22=0),"",G22/H22)</x:f>
      </x:c>
      <x:c r="P22" s="9" t="str">
        <x:f>IF(OR(NOT(ISNUMBER(L22)),NOT(ISNUMBER(M22)),M22=0),"",L22/M22)</x:f>
      </x:c>
      <x:c r="Q22" s="8" t="str">
        <x:f>IF(OR(NOT(ISNUMBER(G22)),NOT(ISNUMBER(L22)),E22="",J22=""),"",IF(IF(AND(INDEX(Teilnehmer!$F$2:$F$10,MATCH(E22,Teilnehmer!$A$2:$A$10,0))&gt;0,INDEX(Teilnehmer!$F$2:$F$10,MATCH(J22,Teilnehmer!$A$2:$A$10,0))&gt;0),G22/INDEX(Teilnehmer!$F$2:$F$10,MATCH(E22,Teilnehmer!$A$2:$A$10,0)),G22)&gt;IF(AND(INDEX(Teilnehmer!$F$2:$F$10,MATCH(E22,Teilnehmer!$A$2:$A$10,0))&gt;0,INDEX(Teilnehmer!$F$2:$F$10,MATCH(J22,Teilnehmer!$A$2:$A$10,0))&gt;0),L22/INDEX(Teilnehmer!$F$2:$F$10,MATCH(J22,Teilnehmer!$A$2:$A$10,0)),L22),2,IF(IF(AND(INDEX(Teilnehmer!$F$2:$F$10,MATCH(E22,Teilnehmer!$A$2:$A$10,0))&gt;0,INDEX(Teilnehmer!$F$2:$F$10,MATCH(J22,Teilnehmer!$A$2:$A$10,0))&gt;0),G22/INDEX(Teilnehmer!$F$2:$F$10,MATCH(E22,Teilnehmer!$A$2:$A$10,0)),G22)=IF(AND(INDEX(Teilnehmer!$F$2:$F$10,MATCH(E22,Teilnehmer!$A$2:$A$10,0))&gt;0,INDEX(Teilnehmer!$F$2:$F$10,MATCH(J22,Teilnehmer!$A$2:$A$10,0))&gt;0),L22/INDEX(Teilnehmer!$F$2:$F$10,MATCH(J22,Teilnehmer!$A$2:$A$10,0)),L22),1,0)))</x:f>
      </x:c>
      <x:c r="R22" s="8" t="str">
        <x:f>IF(NOT(ISNUMBER(Q22)),"",2-Q22)</x:f>
      </x:c>
    </x:row>
    <x:row r="23" ht="23" customHeight="1">
      <x:c r="A23" s="1" t="n">
        <x:v>16</x:v>
      </x:c>
      <x:c r="B23" s="1" t="n">
        <x:v>5</x:v>
      </x:c>
      <x:c r="C23" s="1" t="n">
        <x:v>4</x:v>
      </x:c>
      <x:c r="D23" s="1" t="str">
        <x:v>B</x:v>
      </x:c>
      <x:c r="E23" s="1" t="n">
        <x:v>2</x:v>
      </x:c>
      <x:c r="F23" s="1" t="str">
        <x:f>IF(E23="","",INDEX(Teilnehmer!$B$2:$B$10,MATCH(E23,Teilnehmer!$A$2:$A$10,0)))</x:f>
      </x:c>
      <x:c r="G23" s="8"/>
      <x:c r="H23" s="8"/>
      <x:c r="I23" s="8"/>
      <x:c r="J23" s="1" t="n">
        <x:v>3</x:v>
      </x:c>
      <x:c r="K23" s="1" t="str">
        <x:f>IF(J23="","",INDEX(Teilnehmer!$B$2:$B$10,MATCH(J23,Teilnehmer!$A$2:$A$10,0)))</x:f>
      </x:c>
      <x:c r="L23" s="8"/>
      <x:c r="M23" s="8"/>
      <x:c r="N23" s="8"/>
      <x:c r="O23" s="9" t="str">
        <x:f>IF(OR(NOT(ISNUMBER(G23)),NOT(ISNUMBER(H23)),H23=0),"",G23/H23)</x:f>
      </x:c>
      <x:c r="P23" s="9" t="str">
        <x:f>IF(OR(NOT(ISNUMBER(L23)),NOT(ISNUMBER(M23)),M23=0),"",L23/M23)</x:f>
      </x:c>
      <x:c r="Q23" s="8" t="str">
        <x:f>IF(OR(NOT(ISNUMBER(G23)),NOT(ISNUMBER(L23)),E23="",J23=""),"",IF(IF(AND(INDEX(Teilnehmer!$F$2:$F$10,MATCH(E23,Teilnehmer!$A$2:$A$10,0))&gt;0,INDEX(Teilnehmer!$F$2:$F$10,MATCH(J23,Teilnehmer!$A$2:$A$10,0))&gt;0),G23/INDEX(Teilnehmer!$F$2:$F$10,MATCH(E23,Teilnehmer!$A$2:$A$10,0)),G23)&gt;IF(AND(INDEX(Teilnehmer!$F$2:$F$10,MATCH(E23,Teilnehmer!$A$2:$A$10,0))&gt;0,INDEX(Teilnehmer!$F$2:$F$10,MATCH(J23,Teilnehmer!$A$2:$A$10,0))&gt;0),L23/INDEX(Teilnehmer!$F$2:$F$10,MATCH(J23,Teilnehmer!$A$2:$A$10,0)),L23),2,IF(IF(AND(INDEX(Teilnehmer!$F$2:$F$10,MATCH(E23,Teilnehmer!$A$2:$A$10,0))&gt;0,INDEX(Teilnehmer!$F$2:$F$10,MATCH(J23,Teilnehmer!$A$2:$A$10,0))&gt;0),G23/INDEX(Teilnehmer!$F$2:$F$10,MATCH(E23,Teilnehmer!$A$2:$A$10,0)),G23)=IF(AND(INDEX(Teilnehmer!$F$2:$F$10,MATCH(E23,Teilnehmer!$A$2:$A$10,0))&gt;0,INDEX(Teilnehmer!$F$2:$F$10,MATCH(J23,Teilnehmer!$A$2:$A$10,0))&gt;0),L23/INDEX(Teilnehmer!$F$2:$F$10,MATCH(J23,Teilnehmer!$A$2:$A$10,0)),L23),1,0)))</x:f>
      </x:c>
      <x:c r="R23" s="8" t="str">
        <x:f>IF(NOT(ISNUMBER(Q23)),"",2-Q23)</x:f>
      </x:c>
    </x:row>
    <x:row r="24" ht="23" customHeight="1">
      <x:c r="A24" s="1" t="n">
        <x:v>17</x:v>
      </x:c>
      <x:c r="B24" s="1" t="n">
        <x:v>6</x:v>
      </x:c>
      <x:c r="C24" s="1" t="n">
        <x:v>1</x:v>
      </x:c>
      <x:c r="D24" s="1" t="str">
        <x:v>HF1</x:v>
      </x:c>
      <x:c r="E24" s="1" t="str">
        <x:f>IF(COUNTIF(Teilnehmer!$P$2:$P$10,"A1")=1,INDEX(Teilnehmer!$A$2:$A$10,MATCH("A1",Teilnehmer!$P$2:$P$10,0)),"")</x:f>
      </x:c>
      <x:c r="F24" s="1" t="str">
        <x:f>IF(E24="","",INDEX(Teilnehmer!$B$2:$B$10,MATCH(E24,Teilnehmer!$A$2:$A$10,0)))</x:f>
      </x:c>
      <x:c r="G24" s="8"/>
      <x:c r="H24" s="8"/>
      <x:c r="I24" s="8"/>
      <x:c r="J24" s="1" t="str">
        <x:f>IF(COUNTIF(Teilnehmer!$P$2:$P$10,"B2")=1,INDEX(Teilnehmer!$A$2:$A$10,MATCH("B2",Teilnehmer!$P$2:$P$10,0)),"")</x:f>
      </x:c>
      <x:c r="K24" s="1" t="str">
        <x:f>IF(J24="","",INDEX(Teilnehmer!$B$2:$B$10,MATCH(J24,Teilnehmer!$A$2:$A$10,0)))</x:f>
      </x:c>
      <x:c r="L24" s="8"/>
      <x:c r="M24" s="8"/>
      <x:c r="N24" s="8"/>
      <x:c r="O24" s="9" t="str">
        <x:f>IF(OR(NOT(ISNUMBER(G24)),NOT(ISNUMBER(H24)),H24=0),"",G24/H24)</x:f>
      </x:c>
      <x:c r="P24" s="9" t="str">
        <x:f>IF(OR(NOT(ISNUMBER(L24)),NOT(ISNUMBER(M24)),M24=0),"",L24/M24)</x:f>
      </x:c>
      <x:c r="Q24" s="8" t="str">
        <x:f>IF(OR(NOT(ISNUMBER(G24)),NOT(ISNUMBER(L24)),E24="",J24=""),"",IF(IF(AND(INDEX(Teilnehmer!$F$2:$F$10,MATCH(E24,Teilnehmer!$A$2:$A$10,0))&gt;0,INDEX(Teilnehmer!$F$2:$F$10,MATCH(J24,Teilnehmer!$A$2:$A$10,0))&gt;0),G24/INDEX(Teilnehmer!$F$2:$F$10,MATCH(E24,Teilnehmer!$A$2:$A$10,0)),G24)&gt;IF(AND(INDEX(Teilnehmer!$F$2:$F$10,MATCH(E24,Teilnehmer!$A$2:$A$10,0))&gt;0,INDEX(Teilnehmer!$F$2:$F$10,MATCH(J24,Teilnehmer!$A$2:$A$10,0))&gt;0),L24/INDEX(Teilnehmer!$F$2:$F$10,MATCH(J24,Teilnehmer!$A$2:$A$10,0)),L24),2,IF(IF(AND(INDEX(Teilnehmer!$F$2:$F$10,MATCH(E24,Teilnehmer!$A$2:$A$10,0))&gt;0,INDEX(Teilnehmer!$F$2:$F$10,MATCH(J24,Teilnehmer!$A$2:$A$10,0))&gt;0),G24/INDEX(Teilnehmer!$F$2:$F$10,MATCH(E24,Teilnehmer!$A$2:$A$10,0)),G24)=IF(AND(INDEX(Teilnehmer!$F$2:$F$10,MATCH(E24,Teilnehmer!$A$2:$A$10,0))&gt;0,INDEX(Teilnehmer!$F$2:$F$10,MATCH(J24,Teilnehmer!$A$2:$A$10,0))&gt;0),L24/INDEX(Teilnehmer!$F$2:$F$10,MATCH(J24,Teilnehmer!$A$2:$A$10,0)),L24),1,0)))</x:f>
      </x:c>
      <x:c r="R24" s="8" t="str">
        <x:f>IF(NOT(ISNUMBER(Q24)),"",2-Q24)</x:f>
      </x:c>
    </x:row>
    <x:row r="25" ht="23" customHeight="1">
      <x:c r="A25" s="1" t="n">
        <x:v>18</x:v>
      </x:c>
      <x:c r="B25" s="1" t="n">
        <x:v>6</x:v>
      </x:c>
      <x:c r="C25" s="1" t="n">
        <x:v>2</x:v>
      </x:c>
      <x:c r="D25" s="1" t="str">
        <x:v>HF2</x:v>
      </x:c>
      <x:c r="E25" s="1" t="str">
        <x:f>IF(COUNTIF(Teilnehmer!$P$2:$P$10,"B1")=1,INDEX(Teilnehmer!$A$2:$A$10,MATCH("B1",Teilnehmer!$P$2:$P$10,0)),"")</x:f>
      </x:c>
      <x:c r="F25" s="1" t="str">
        <x:f>IF(E25="","",INDEX(Teilnehmer!$B$2:$B$10,MATCH(E25,Teilnehmer!$A$2:$A$10,0)))</x:f>
      </x:c>
      <x:c r="G25" s="8"/>
      <x:c r="H25" s="8"/>
      <x:c r="I25" s="8"/>
      <x:c r="J25" s="1" t="str">
        <x:f>IF(COUNTIF(Teilnehmer!$P$2:$P$10,"A2")=1,INDEX(Teilnehmer!$A$2:$A$10,MATCH("A2",Teilnehmer!$P$2:$P$10,0)),"")</x:f>
      </x:c>
      <x:c r="K25" s="1" t="str">
        <x:f>IF(J25="","",INDEX(Teilnehmer!$B$2:$B$10,MATCH(J25,Teilnehmer!$A$2:$A$10,0)))</x:f>
      </x:c>
      <x:c r="L25" s="8"/>
      <x:c r="M25" s="8"/>
      <x:c r="N25" s="8"/>
      <x:c r="O25" s="9" t="str">
        <x:f>IF(OR(NOT(ISNUMBER(G25)),NOT(ISNUMBER(H25)),H25=0),"",G25/H25)</x:f>
      </x:c>
      <x:c r="P25" s="9" t="str">
        <x:f>IF(OR(NOT(ISNUMBER(L25)),NOT(ISNUMBER(M25)),M25=0),"",L25/M25)</x:f>
      </x:c>
      <x:c r="Q25" s="8" t="str">
        <x:f>IF(OR(NOT(ISNUMBER(G25)),NOT(ISNUMBER(L25)),E25="",J25=""),"",IF(IF(AND(INDEX(Teilnehmer!$F$2:$F$10,MATCH(E25,Teilnehmer!$A$2:$A$10,0))&gt;0,INDEX(Teilnehmer!$F$2:$F$10,MATCH(J25,Teilnehmer!$A$2:$A$10,0))&gt;0),G25/INDEX(Teilnehmer!$F$2:$F$10,MATCH(E25,Teilnehmer!$A$2:$A$10,0)),G25)&gt;IF(AND(INDEX(Teilnehmer!$F$2:$F$10,MATCH(E25,Teilnehmer!$A$2:$A$10,0))&gt;0,INDEX(Teilnehmer!$F$2:$F$10,MATCH(J25,Teilnehmer!$A$2:$A$10,0))&gt;0),L25/INDEX(Teilnehmer!$F$2:$F$10,MATCH(J25,Teilnehmer!$A$2:$A$10,0)),L25),2,IF(IF(AND(INDEX(Teilnehmer!$F$2:$F$10,MATCH(E25,Teilnehmer!$A$2:$A$10,0))&gt;0,INDEX(Teilnehmer!$F$2:$F$10,MATCH(J25,Teilnehmer!$A$2:$A$10,0))&gt;0),G25/INDEX(Teilnehmer!$F$2:$F$10,MATCH(E25,Teilnehmer!$A$2:$A$10,0)),G25)=IF(AND(INDEX(Teilnehmer!$F$2:$F$10,MATCH(E25,Teilnehmer!$A$2:$A$10,0))&gt;0,INDEX(Teilnehmer!$F$2:$F$10,MATCH(J25,Teilnehmer!$A$2:$A$10,0))&gt;0),L25/INDEX(Teilnehmer!$F$2:$F$10,MATCH(J25,Teilnehmer!$A$2:$A$10,0)),L25),1,0)))</x:f>
      </x:c>
      <x:c r="R25" s="8" t="str">
        <x:f>IF(NOT(ISNUMBER(Q25)),"",2-Q25)</x:f>
      </x:c>
    </x:row>
    <x:row r="26" ht="23" customHeight="1">
      <x:c r="A26" s="1" t="n">
        <x:v>19</x:v>
      </x:c>
      <x:c r="B26" s="1" t="n">
        <x:v>6</x:v>
      </x:c>
      <x:c r="C26" s="1" t="n">
        <x:v>3</x:v>
      </x:c>
      <x:c r="D26" s="1" t="str">
        <x:v>Platz 5–6</x:v>
      </x:c>
      <x:c r="E26" s="1" t="str">
        <x:f>IF(COUNTIF(Teilnehmer!$P$2:$P$10,"A3")=1,INDEX(Teilnehmer!$A$2:$A$10,MATCH("A3",Teilnehmer!$P$2:$P$10,0)),"")</x:f>
      </x:c>
      <x:c r="F26" s="1" t="str">
        <x:f>IF(E26="","",INDEX(Teilnehmer!$B$2:$B$10,MATCH(E26,Teilnehmer!$A$2:$A$10,0)))</x:f>
      </x:c>
      <x:c r="G26" s="8"/>
      <x:c r="H26" s="8"/>
      <x:c r="I26" s="8"/>
      <x:c r="J26" s="1" t="str">
        <x:f>IF(COUNTIF(Teilnehmer!$P$2:$P$10,"B3")=1,INDEX(Teilnehmer!$A$2:$A$10,MATCH("B3",Teilnehmer!$P$2:$P$10,0)),"")</x:f>
      </x:c>
      <x:c r="K26" s="1" t="str">
        <x:f>IF(J26="","",INDEX(Teilnehmer!$B$2:$B$10,MATCH(J26,Teilnehmer!$A$2:$A$10,0)))</x:f>
      </x:c>
      <x:c r="L26" s="8"/>
      <x:c r="M26" s="8"/>
      <x:c r="N26" s="8"/>
      <x:c r="O26" s="9" t="str">
        <x:f>IF(OR(NOT(ISNUMBER(G26)),NOT(ISNUMBER(H26)),H26=0),"",G26/H26)</x:f>
      </x:c>
      <x:c r="P26" s="9" t="str">
        <x:f>IF(OR(NOT(ISNUMBER(L26)),NOT(ISNUMBER(M26)),M26=0),"",L26/M26)</x:f>
      </x:c>
      <x:c r="Q26" s="8" t="str">
        <x:f>IF(OR(NOT(ISNUMBER(G26)),NOT(ISNUMBER(L26)),E26="",J26=""),"",IF(IF(AND(INDEX(Teilnehmer!$F$2:$F$10,MATCH(E26,Teilnehmer!$A$2:$A$10,0))&gt;0,INDEX(Teilnehmer!$F$2:$F$10,MATCH(J26,Teilnehmer!$A$2:$A$10,0))&gt;0),G26/INDEX(Teilnehmer!$F$2:$F$10,MATCH(E26,Teilnehmer!$A$2:$A$10,0)),G26)&gt;IF(AND(INDEX(Teilnehmer!$F$2:$F$10,MATCH(E26,Teilnehmer!$A$2:$A$10,0))&gt;0,INDEX(Teilnehmer!$F$2:$F$10,MATCH(J26,Teilnehmer!$A$2:$A$10,0))&gt;0),L26/INDEX(Teilnehmer!$F$2:$F$10,MATCH(J26,Teilnehmer!$A$2:$A$10,0)),L26),2,IF(IF(AND(INDEX(Teilnehmer!$F$2:$F$10,MATCH(E26,Teilnehmer!$A$2:$A$10,0))&gt;0,INDEX(Teilnehmer!$F$2:$F$10,MATCH(J26,Teilnehmer!$A$2:$A$10,0))&gt;0),G26/INDEX(Teilnehmer!$F$2:$F$10,MATCH(E26,Teilnehmer!$A$2:$A$10,0)),G26)=IF(AND(INDEX(Teilnehmer!$F$2:$F$10,MATCH(E26,Teilnehmer!$A$2:$A$10,0))&gt;0,INDEX(Teilnehmer!$F$2:$F$10,MATCH(J26,Teilnehmer!$A$2:$A$10,0))&gt;0),L26/INDEX(Teilnehmer!$F$2:$F$10,MATCH(J26,Teilnehmer!$A$2:$A$10,0)),L26),1,0)))</x:f>
      </x:c>
      <x:c r="R26" s="8" t="str">
        <x:f>IF(NOT(ISNUMBER(Q26)),"",2-Q26)</x:f>
      </x:c>
    </x:row>
    <x:row r="27" ht="23" customHeight="1">
      <x:c r="A27" s="1" t="n">
        <x:v>20</x:v>
      </x:c>
      <x:c r="B27" s="1" t="n">
        <x:v>6</x:v>
      </x:c>
      <x:c r="C27" s="1" t="n">
        <x:v>4</x:v>
      </x:c>
      <x:c r="D27" s="1" t="str">
        <x:v>Platz 7–8</x:v>
      </x:c>
      <x:c r="E27" s="1" t="str">
        <x:f>IF(COUNTIF(Teilnehmer!$P$2:$P$10,"A4")=1,INDEX(Teilnehmer!$A$2:$A$10,MATCH("A4",Teilnehmer!$P$2:$P$10,0)),"")</x:f>
      </x:c>
      <x:c r="F27" s="1" t="str">
        <x:f>IF(E27="","",INDEX(Teilnehmer!$B$2:$B$10,MATCH(E27,Teilnehmer!$A$2:$A$10,0)))</x:f>
      </x:c>
      <x:c r="G27" s="8"/>
      <x:c r="H27" s="8"/>
      <x:c r="I27" s="8"/>
      <x:c r="J27" s="1" t="str">
        <x:f>IF(COUNTIF(Teilnehmer!$P$2:$P$10,"B4")=1,INDEX(Teilnehmer!$A$2:$A$10,MATCH("B4",Teilnehmer!$P$2:$P$10,0)),"")</x:f>
      </x:c>
      <x:c r="K27" s="1" t="str">
        <x:f>IF(J27="","",INDEX(Teilnehmer!$B$2:$B$10,MATCH(J27,Teilnehmer!$A$2:$A$10,0)))</x:f>
      </x:c>
      <x:c r="L27" s="8"/>
      <x:c r="M27" s="8"/>
      <x:c r="N27" s="8"/>
      <x:c r="O27" s="9" t="str">
        <x:f>IF(OR(NOT(ISNUMBER(G27)),NOT(ISNUMBER(H27)),H27=0),"",G27/H27)</x:f>
      </x:c>
      <x:c r="P27" s="9" t="str">
        <x:f>IF(OR(NOT(ISNUMBER(L27)),NOT(ISNUMBER(M27)),M27=0),"",L27/M27)</x:f>
      </x:c>
      <x:c r="Q27" s="8" t="str">
        <x:f>IF(OR(NOT(ISNUMBER(G27)),NOT(ISNUMBER(L27)),E27="",J27=""),"",IF(IF(AND(INDEX(Teilnehmer!$F$2:$F$10,MATCH(E27,Teilnehmer!$A$2:$A$10,0))&gt;0,INDEX(Teilnehmer!$F$2:$F$10,MATCH(J27,Teilnehmer!$A$2:$A$10,0))&gt;0),G27/INDEX(Teilnehmer!$F$2:$F$10,MATCH(E27,Teilnehmer!$A$2:$A$10,0)),G27)&gt;IF(AND(INDEX(Teilnehmer!$F$2:$F$10,MATCH(E27,Teilnehmer!$A$2:$A$10,0))&gt;0,INDEX(Teilnehmer!$F$2:$F$10,MATCH(J27,Teilnehmer!$A$2:$A$10,0))&gt;0),L27/INDEX(Teilnehmer!$F$2:$F$10,MATCH(J27,Teilnehmer!$A$2:$A$10,0)),L27),2,IF(IF(AND(INDEX(Teilnehmer!$F$2:$F$10,MATCH(E27,Teilnehmer!$A$2:$A$10,0))&gt;0,INDEX(Teilnehmer!$F$2:$F$10,MATCH(J27,Teilnehmer!$A$2:$A$10,0))&gt;0),G27/INDEX(Teilnehmer!$F$2:$F$10,MATCH(E27,Teilnehmer!$A$2:$A$10,0)),G27)=IF(AND(INDEX(Teilnehmer!$F$2:$F$10,MATCH(E27,Teilnehmer!$A$2:$A$10,0))&gt;0,INDEX(Teilnehmer!$F$2:$F$10,MATCH(J27,Teilnehmer!$A$2:$A$10,0))&gt;0),L27/INDEX(Teilnehmer!$F$2:$F$10,MATCH(J27,Teilnehmer!$A$2:$A$10,0)),L27),1,0)))</x:f>
      </x:c>
      <x:c r="R27" s="8" t="str">
        <x:f>IF(NOT(ISNUMBER(Q27)),"",2-Q27)</x:f>
      </x:c>
    </x:row>
    <x:row r="28" ht="23" customHeight="1">
      <x:c r="A28" s="1" t="n">
        <x:v>21</x:v>
      </x:c>
      <x:c r="B28" s="1" t="n">
        <x:v>7</x:v>
      </x:c>
      <x:c r="C28" s="1" t="n">
        <x:v>1</x:v>
      </x:c>
      <x:c r="D28" s="1" t="str">
        <x:v>Finale</x:v>
      </x:c>
      <x:c r="E28" s="1" t="str">
        <x:f>IF(OR(G24="",L24="",Q24=R24),"",IF(Q24&gt;R24,E24,J24))</x:f>
      </x:c>
      <x:c r="F28" s="1" t="str">
        <x:f>IF(E28="","",INDEX(Teilnehmer!$B$2:$B$10,MATCH(E28,Teilnehmer!$A$2:$A$10,0)))</x:f>
      </x:c>
      <x:c r="G28" s="8"/>
      <x:c r="H28" s="8"/>
      <x:c r="I28" s="8"/>
      <x:c r="J28" s="1" t="str">
        <x:f>IF(OR(G25="",L25="",Q25=R25),"",IF(Q25&gt;R25,E25,J25))</x:f>
      </x:c>
      <x:c r="K28" s="1" t="str">
        <x:f>IF(J28="","",INDEX(Teilnehmer!$B$2:$B$10,MATCH(J28,Teilnehmer!$A$2:$A$10,0)))</x:f>
      </x:c>
      <x:c r="L28" s="8"/>
      <x:c r="M28" s="8"/>
      <x:c r="N28" s="8"/>
      <x:c r="O28" s="9" t="str">
        <x:f>IF(OR(NOT(ISNUMBER(G28)),NOT(ISNUMBER(H28)),H28=0),"",G28/H28)</x:f>
      </x:c>
      <x:c r="P28" s="9" t="str">
        <x:f>IF(OR(NOT(ISNUMBER(L28)),NOT(ISNUMBER(M28)),M28=0),"",L28/M28)</x:f>
      </x:c>
      <x:c r="Q28" s="8" t="str">
        <x:f>IF(OR(NOT(ISNUMBER(G28)),NOT(ISNUMBER(L28)),E28="",J28=""),"",IF(IF(AND(INDEX(Teilnehmer!$F$2:$F$10,MATCH(E28,Teilnehmer!$A$2:$A$10,0))&gt;0,INDEX(Teilnehmer!$F$2:$F$10,MATCH(J28,Teilnehmer!$A$2:$A$10,0))&gt;0),G28/INDEX(Teilnehmer!$F$2:$F$10,MATCH(E28,Teilnehmer!$A$2:$A$10,0)),G28)&gt;IF(AND(INDEX(Teilnehmer!$F$2:$F$10,MATCH(E28,Teilnehmer!$A$2:$A$10,0))&gt;0,INDEX(Teilnehmer!$F$2:$F$10,MATCH(J28,Teilnehmer!$A$2:$A$10,0))&gt;0),L28/INDEX(Teilnehmer!$F$2:$F$10,MATCH(J28,Teilnehmer!$A$2:$A$10,0)),L28),2,IF(IF(AND(INDEX(Teilnehmer!$F$2:$F$10,MATCH(E28,Teilnehmer!$A$2:$A$10,0))&gt;0,INDEX(Teilnehmer!$F$2:$F$10,MATCH(J28,Teilnehmer!$A$2:$A$10,0))&gt;0),G28/INDEX(Teilnehmer!$F$2:$F$10,MATCH(E28,Teilnehmer!$A$2:$A$10,0)),G28)=IF(AND(INDEX(Teilnehmer!$F$2:$F$10,MATCH(E28,Teilnehmer!$A$2:$A$10,0))&gt;0,INDEX(Teilnehmer!$F$2:$F$10,MATCH(J28,Teilnehmer!$A$2:$A$10,0))&gt;0),L28/INDEX(Teilnehmer!$F$2:$F$10,MATCH(J28,Teilnehmer!$A$2:$A$10,0)),L28),1,0)))</x:f>
      </x:c>
      <x:c r="R28" s="8" t="str">
        <x:f>IF(NOT(ISNUMBER(Q28)),"",2-Q28)</x:f>
      </x:c>
    </x:row>
    <x:row r="29" ht="23" customHeight="1">
      <x:c r="A29" s="1" t="n">
        <x:v>22</x:v>
      </x:c>
      <x:c r="B29" s="1" t="n">
        <x:v>7</x:v>
      </x:c>
      <x:c r="C29" s="1" t="n">
        <x:v>2</x:v>
      </x:c>
      <x:c r="D29" s="1" t="str">
        <x:v>Platz 3–4</x:v>
      </x:c>
      <x:c r="E29" s="1" t="str">
        <x:f>IF(OR(G24="",L24="",Q24=R24),"",IF(Q24&lt;R24,E24,J24))</x:f>
      </x:c>
      <x:c r="F29" s="1" t="str">
        <x:f>IF(E29="","",INDEX(Teilnehmer!$B$2:$B$10,MATCH(E29,Teilnehmer!$A$2:$A$10,0)))</x:f>
      </x:c>
      <x:c r="G29" s="8"/>
      <x:c r="H29" s="8"/>
      <x:c r="I29" s="8"/>
      <x:c r="J29" s="1" t="str">
        <x:f>IF(OR(G25="",L25="",Q25=R25),"",IF(Q25&lt;R25,E25,J25))</x:f>
      </x:c>
      <x:c r="K29" s="1" t="str">
        <x:f>IF(J29="","",INDEX(Teilnehmer!$B$2:$B$10,MATCH(J29,Teilnehmer!$A$2:$A$10,0)))</x:f>
      </x:c>
      <x:c r="L29" s="8"/>
      <x:c r="M29" s="8"/>
      <x:c r="N29" s="8"/>
      <x:c r="O29" s="9" t="str">
        <x:f>IF(OR(NOT(ISNUMBER(G29)),NOT(ISNUMBER(H29)),H29=0),"",G29/H29)</x:f>
      </x:c>
      <x:c r="P29" s="9" t="str">
        <x:f>IF(OR(NOT(ISNUMBER(L29)),NOT(ISNUMBER(M29)),M29=0),"",L29/M29)</x:f>
      </x:c>
      <x:c r="Q29" s="8" t="str">
        <x:f>IF(OR(NOT(ISNUMBER(G29)),NOT(ISNUMBER(L29)),E29="",J29=""),"",IF(IF(AND(INDEX(Teilnehmer!$F$2:$F$10,MATCH(E29,Teilnehmer!$A$2:$A$10,0))&gt;0,INDEX(Teilnehmer!$F$2:$F$10,MATCH(J29,Teilnehmer!$A$2:$A$10,0))&gt;0),G29/INDEX(Teilnehmer!$F$2:$F$10,MATCH(E29,Teilnehmer!$A$2:$A$10,0)),G29)&gt;IF(AND(INDEX(Teilnehmer!$F$2:$F$10,MATCH(E29,Teilnehmer!$A$2:$A$10,0))&gt;0,INDEX(Teilnehmer!$F$2:$F$10,MATCH(J29,Teilnehmer!$A$2:$A$10,0))&gt;0),L29/INDEX(Teilnehmer!$F$2:$F$10,MATCH(J29,Teilnehmer!$A$2:$A$10,0)),L29),2,IF(IF(AND(INDEX(Teilnehmer!$F$2:$F$10,MATCH(E29,Teilnehmer!$A$2:$A$10,0))&gt;0,INDEX(Teilnehmer!$F$2:$F$10,MATCH(J29,Teilnehmer!$A$2:$A$10,0))&gt;0),G29/INDEX(Teilnehmer!$F$2:$F$10,MATCH(E29,Teilnehmer!$A$2:$A$10,0)),G29)=IF(AND(INDEX(Teilnehmer!$F$2:$F$10,MATCH(E29,Teilnehmer!$A$2:$A$10,0))&gt;0,INDEX(Teilnehmer!$F$2:$F$10,MATCH(J29,Teilnehmer!$A$2:$A$10,0))&gt;0),L29/INDEX(Teilnehmer!$F$2:$F$10,MATCH(J29,Teilnehmer!$A$2:$A$10,0)),L29),1,0)))</x:f>
      </x:c>
      <x:c r="R29" s="8" t="str">
        <x:f>IF(NOT(ISNUMBER(Q29)),"",2-Q29)</x:f>
      </x:c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36" customHeight="1">
      <x:c r="A32" s="7" t="str">
        <x:v>Platz</x:v>
      </x:c>
      <x:c r="B32" s="7" t="str">
        <x:v>Spieler</x:v>
      </x:c>
      <x:c r="C32" s="7"/>
      <x:c r="D32" s="7"/>
      <x:c r="E32" s="7"/>
      <x:c r="F32" s="7"/>
      <x:c r="G32" s="7"/>
      <x:c r="H32" s="7"/>
      <x:c r="I32" s="7" t="str">
        <x:v>Setz.</x:v>
      </x:c>
      <x:c r="J32" s="7" t="str">
        <x:v>Entscheidung</x:v>
      </x:c>
      <x:c r="K32" s="7"/>
      <x:c r="L32" s="7"/>
      <x:c r="M32" s="7"/>
      <x:c r="N32" s="7"/>
      <x:c r="O32" s="7"/>
      <x:c r="P32" s="7"/>
      <x:c r="Q32" s="7"/>
      <x:c r="R32" s="7"/>
    </x:row>
    <x:row r="33" ht="23" customHeight="1">
      <x:c r="A33" s="1" t="n">
        <x:v>1</x:v>
      </x:c>
      <x:c r="B33" s="1" t="str">
        <x:f>IF(I33="","",INDEX(Teilnehmer!$B$2:$B$10,MATCH(I33,Teilnehmer!$A$2:$A$10,0)))</x:f>
      </x:c>
      <x:c r="C33" s="1"/>
      <x:c r="D33" s="1"/>
      <x:c r="E33" s="1"/>
      <x:c r="F33" s="1"/>
      <x:c r="G33" s="1"/>
      <x:c r="H33" s="1"/>
      <x:c r="I33" s="1" t="str">
        <x:f>IF(OR(G28="",L28="",Q28=R28),"",IF(Q28&gt;R28,E28,J28))</x:f>
      </x:c>
      <x:c r="J33" s="1" t="str">
        <x:v>Platzierungsspiel</x:v>
      </x:c>
      <x:c r="K33" s="1"/>
      <x:c r="L33" s="1"/>
      <x:c r="M33" s="1"/>
      <x:c r="N33" s="1"/>
      <x:c r="O33" s="1"/>
      <x:c r="P33" s="1"/>
      <x:c r="Q33" s="1"/>
      <x:c r="R33" s="1"/>
    </x:row>
    <x:row r="34" ht="23" customHeight="1">
      <x:c r="A34" s="1" t="n">
        <x:v>2</x:v>
      </x:c>
      <x:c r="B34" s="1" t="str">
        <x:f>IF(I34="","",INDEX(Teilnehmer!$B$2:$B$10,MATCH(I34,Teilnehmer!$A$2:$A$10,0)))</x:f>
      </x:c>
      <x:c r="C34" s="1"/>
      <x:c r="D34" s="1"/>
      <x:c r="E34" s="1"/>
      <x:c r="F34" s="1"/>
      <x:c r="G34" s="1"/>
      <x:c r="H34" s="1"/>
      <x:c r="I34" s="1" t="str">
        <x:f>IF(OR(G28="",L28="",Q28=R28),"",IF(Q28&lt;R28,E28,J28))</x:f>
      </x:c>
      <x:c r="J34" s="1" t="str">
        <x:v>Platzierungsspiel</x:v>
      </x:c>
      <x:c r="K34" s="1"/>
      <x:c r="L34" s="1"/>
      <x:c r="M34" s="1"/>
      <x:c r="N34" s="1"/>
      <x:c r="O34" s="1"/>
      <x:c r="P34" s="1"/>
      <x:c r="Q34" s="1"/>
      <x:c r="R34" s="1"/>
    </x:row>
    <x:row r="35" ht="23" customHeight="1">
      <x:c r="A35" s="1" t="n">
        <x:v>3</x:v>
      </x:c>
      <x:c r="B35" s="1" t="str">
        <x:f>IF(I35="","",INDEX(Teilnehmer!$B$2:$B$10,MATCH(I35,Teilnehmer!$A$2:$A$10,0)))</x:f>
      </x:c>
      <x:c r="C35" s="1"/>
      <x:c r="D35" s="1"/>
      <x:c r="E35" s="1"/>
      <x:c r="F35" s="1"/>
      <x:c r="G35" s="1"/>
      <x:c r="H35" s="1"/>
      <x:c r="I35" s="1" t="str">
        <x:f>IF(OR(G29="",L29="",Q29=R29),"",IF(Q29&gt;R29,E29,J29))</x:f>
      </x:c>
      <x:c r="J35" s="1" t="str">
        <x:v>Platzierungsspiel</x:v>
      </x:c>
      <x:c r="K35" s="1"/>
      <x:c r="L35" s="1"/>
      <x:c r="M35" s="1"/>
      <x:c r="N35" s="1"/>
      <x:c r="O35" s="1"/>
      <x:c r="P35" s="1"/>
      <x:c r="Q35" s="1"/>
      <x:c r="R35" s="1"/>
    </x:row>
    <x:row r="36" ht="23" customHeight="1">
      <x:c r="A36" s="1" t="n">
        <x:v>4</x:v>
      </x:c>
      <x:c r="B36" s="1" t="str">
        <x:f>IF(I36="","",INDEX(Teilnehmer!$B$2:$B$10,MATCH(I36,Teilnehmer!$A$2:$A$10,0)))</x:f>
      </x:c>
      <x:c r="C36" s="1"/>
      <x:c r="D36" s="1"/>
      <x:c r="E36" s="1"/>
      <x:c r="F36" s="1"/>
      <x:c r="G36" s="1"/>
      <x:c r="H36" s="1"/>
      <x:c r="I36" s="1" t="str">
        <x:f>IF(OR(G29="",L29="",Q29=R29),"",IF(Q29&lt;R29,E29,J29))</x:f>
      </x:c>
      <x:c r="J36" s="1" t="str">
        <x:v>Platzierungsspiel</x:v>
      </x:c>
      <x:c r="K36" s="1"/>
      <x:c r="L36" s="1"/>
      <x:c r="M36" s="1"/>
      <x:c r="N36" s="1"/>
      <x:c r="O36" s="1"/>
      <x:c r="P36" s="1"/>
      <x:c r="Q36" s="1"/>
      <x:c r="R36" s="1"/>
    </x:row>
    <x:row r="37" ht="23" customHeight="1">
      <x:c r="A37" s="1" t="n">
        <x:v>5</x:v>
      </x:c>
      <x:c r="B37" s="1" t="str">
        <x:f>IF(I37="","",INDEX(Teilnehmer!$B$2:$B$10,MATCH(I37,Teilnehmer!$A$2:$A$10,0)))</x:f>
      </x:c>
      <x:c r="C37" s="1"/>
      <x:c r="D37" s="1"/>
      <x:c r="E37" s="1"/>
      <x:c r="F37" s="1"/>
      <x:c r="G37" s="1"/>
      <x:c r="H37" s="1"/>
      <x:c r="I37" s="1" t="str">
        <x:f>IF(OR(G26="",L26="",Q26=R26),"",IF(Q26&gt;R26,E26,J26))</x:f>
      </x:c>
      <x:c r="J37" s="1" t="str">
        <x:v>Platzierungsspiel</x:v>
      </x:c>
      <x:c r="K37" s="1"/>
      <x:c r="L37" s="1"/>
      <x:c r="M37" s="1"/>
      <x:c r="N37" s="1"/>
      <x:c r="O37" s="1"/>
      <x:c r="P37" s="1"/>
      <x:c r="Q37" s="1"/>
      <x:c r="R37" s="1"/>
    </x:row>
    <x:row r="38" ht="23" customHeight="1">
      <x:c r="A38" s="1" t="n">
        <x:v>6</x:v>
      </x:c>
      <x:c r="B38" s="1" t="str">
        <x:f>IF(I38="","",INDEX(Teilnehmer!$B$2:$B$10,MATCH(I38,Teilnehmer!$A$2:$A$10,0)))</x:f>
      </x:c>
      <x:c r="C38" s="1"/>
      <x:c r="D38" s="1"/>
      <x:c r="E38" s="1"/>
      <x:c r="F38" s="1"/>
      <x:c r="G38" s="1"/>
      <x:c r="H38" s="1"/>
      <x:c r="I38" s="1" t="str">
        <x:f>IF(OR(G26="",L26="",Q26=R26),"",IF(Q26&lt;R26,E26,J26))</x:f>
      </x:c>
      <x:c r="J38" s="1" t="str">
        <x:v>Platzierungsspiel</x:v>
      </x:c>
      <x:c r="K38" s="1"/>
      <x:c r="L38" s="1"/>
      <x:c r="M38" s="1"/>
      <x:c r="N38" s="1"/>
      <x:c r="O38" s="1"/>
      <x:c r="P38" s="1"/>
      <x:c r="Q38" s="1"/>
      <x:c r="R38" s="1"/>
    </x:row>
    <x:row r="39" ht="23" customHeight="1">
      <x:c r="A39" s="1" t="n">
        <x:v>7</x:v>
      </x:c>
      <x:c r="B39" s="1" t="str">
        <x:f>IF(I39="","",INDEX(Teilnehmer!$B$2:$B$10,MATCH(I39,Teilnehmer!$A$2:$A$10,0)))</x:f>
      </x:c>
      <x:c r="C39" s="1"/>
      <x:c r="D39" s="1"/>
      <x:c r="E39" s="1"/>
      <x:c r="F39" s="1"/>
      <x:c r="G39" s="1"/>
      <x:c r="H39" s="1"/>
      <x:c r="I39" s="1" t="str">
        <x:f>IF(OR(G27="",L27="",Q27=R27),"",IF(Q27&gt;R27,E27,J27))</x:f>
      </x:c>
      <x:c r="J39" s="1" t="str">
        <x:v>Platzierungsspiel</x:v>
      </x:c>
      <x:c r="K39" s="1"/>
      <x:c r="L39" s="1"/>
      <x:c r="M39" s="1"/>
      <x:c r="N39" s="1"/>
      <x:c r="O39" s="1"/>
      <x:c r="P39" s="1"/>
      <x:c r="Q39" s="1"/>
      <x:c r="R39" s="1"/>
    </x:row>
    <x:row r="40" ht="23" customHeight="1">
      <x:c r="A40" s="1" t="n">
        <x:v>8</x:v>
      </x:c>
      <x:c r="B40" s="1" t="str">
        <x:f>IF(I40="","",INDEX(Teilnehmer!$B$2:$B$10,MATCH(I40,Teilnehmer!$A$2:$A$10,0)))</x:f>
      </x:c>
      <x:c r="C40" s="1"/>
      <x:c r="D40" s="1"/>
      <x:c r="E40" s="1"/>
      <x:c r="F40" s="1"/>
      <x:c r="G40" s="1"/>
      <x:c r="H40" s="1"/>
      <x:c r="I40" s="1" t="str">
        <x:f>IF(OR(G27="",L27="",Q27=R27),"",IF(Q27&lt;R27,E27,J27))</x:f>
      </x:c>
      <x:c r="J40" s="1" t="str">
        <x:v>Platzierungsspiel</x:v>
      </x:c>
      <x:c r="K40" s="1"/>
      <x:c r="L40" s="1"/>
      <x:c r="M40" s="1"/>
      <x:c r="N40" s="1"/>
      <x:c r="O40" s="1"/>
      <x:c r="P40" s="1"/>
      <x:c r="Q40" s="1"/>
      <x:c r="R40" s="1"/>
    </x:row>
    <x:row r="41" ht="23" customHeight="1">
      <x:c r="A41" s="1" t="n">
        <x:v>9</x:v>
      </x:c>
      <x:c r="B41" s="1" t="str">
        <x:f>IF(I41="","",INDEX(Teilnehmer!$B$2:$B$10,MATCH(I41,Teilnehmer!$A$2:$A$10,0)))</x:f>
      </x:c>
      <x:c r="C41" s="1"/>
      <x:c r="D41" s="1"/>
      <x:c r="E41" s="1"/>
      <x:c r="F41" s="1"/>
      <x:c r="G41" s="1"/>
      <x:c r="H41" s="1"/>
      <x:c r="I41" s="1" t="str">
        <x:f>IF(COUNTIF(Teilnehmer!$P$2:$P$10,"B5")=1,INDEX(Teilnehmer!$A$2:$A$10,MATCH("B5",Teilnehmer!$P$2:$P$10,0)),"")</x:f>
      </x:c>
      <x:c r="J41" s="1" t="str">
        <x:v>Fünfter Gruppe B</x:v>
      </x:c>
      <x:c r="K41" s="1"/>
      <x:c r="L41" s="1"/>
      <x:c r="M41" s="1"/>
      <x:c r="N41" s="1"/>
      <x:c r="O41" s="1"/>
      <x:c r="P41" s="1"/>
      <x:c r="Q41" s="1"/>
      <x:c r="R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</x:sheetData>
  <x:mergeCells>
    <x:mergeCell ref="B3:E3"/>
    <x:mergeCell ref="G3:H3"/>
    <x:mergeCell ref="A4:R4"/>
    <x:mergeCell ref="A5:R5"/>
    <x:mergeCell ref="B32:H32"/>
    <x:mergeCell ref="J32:R32"/>
    <x:mergeCell ref="B33:H33"/>
    <x:mergeCell ref="J33:R33"/>
    <x:mergeCell ref="B34:H34"/>
    <x:mergeCell ref="J34:R34"/>
    <x:mergeCell ref="B35:H35"/>
    <x:mergeCell ref="J35:R35"/>
    <x:mergeCell ref="B36:H36"/>
    <x:mergeCell ref="J36:R36"/>
    <x:mergeCell ref="B37:H37"/>
    <x:mergeCell ref="J37:R37"/>
    <x:mergeCell ref="B38:H38"/>
    <x:mergeCell ref="J38:R38"/>
    <x:mergeCell ref="B39:H39"/>
    <x:mergeCell ref="J39:R39"/>
    <x:mergeCell ref="B40:H40"/>
    <x:mergeCell ref="J40:R40"/>
    <x:mergeCell ref="B41:H41"/>
    <x:mergeCell ref="J41:R4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2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36" customHeight="1">
      <x:c r="A1" s="7" t="str">
        <x:v>Setzposition</x:v>
      </x:c>
      <x:c r="B1" s="7" t="str">
        <x:v>Spieler</x:v>
      </x:c>
      <x:c r="C1" s="7" t="str">
        <x:v>Passnummer</x:v>
      </x:c>
      <x:c r="D1" s="7" t="str">
        <x:v>Verein</x:v>
      </x:c>
      <x:c r="E1" s="7" t="str">
        <x:v>GD Setzliste</x:v>
      </x:c>
      <x:c r="F1" s="7" t="str">
        <x:v>Ballvorgabe</x:v>
      </x:c>
      <x:c r="G1" s="7" t="str">
        <x:v>Gruppe</x:v>
      </x:c>
      <x:c r="H1" s="7" t="str">
        <x:v>Pos.</x:v>
      </x:c>
      <x:c r="I1" s="7" t="str">
        <x:v>MP</x:v>
      </x:c>
      <x:c r="J1" s="7" t="str">
        <x:v>Bälle</x:v>
      </x:c>
      <x:c r="K1" s="7" t="str">
        <x:v>Aufnahmen</x:v>
      </x:c>
      <x:c r="L1" s="7" t="str">
        <x:v>GD</x:v>
      </x:c>
      <x:c r="M1" s="7" t="str">
        <x:v>HS</x:v>
      </x:c>
      <x:c r="N1" s="7" t="str">
        <x:v>Rang</x:v>
      </x:c>
      <x:c r="O1" s="7" t="str">
        <x:v>Rang manuell</x:v>
      </x:c>
      <x:c r="P1" s="7" t="str">
        <x:v>Gruppenplatz</x:v>
      </x:c>
      <x:c r="Q1" s="1"/>
      <x:c r="R1" s="1"/>
    </x:row>
    <x:row r="2" ht="23" customHeight="1">
      <x:c r="A2" s="1" t="n">
        <x:v>1</x:v>
      </x:c>
      <x:c r="B2" s="8" t="str"/>
      <x:c r="C2" s="8" t="str"/>
      <x:c r="D2" s="8" t="str"/>
      <x:c r="E2" s="10"/>
      <x:c r="F2" s="8"/>
      <x:c r="G2" s="1" t="str">
        <x:v>A</x:v>
      </x:c>
      <x:c r="H2" s="1" t="n">
        <x:v>1</x:v>
      </x:c>
      <x:c r="I2" s="1" t="n">
        <x:f>SUMIF(Tableau!$E$8:$E$23,A2,Tableau!$Q$8:$Q$23)+SUMIF(Tableau!$J$8:$J$23,A2,Tableau!$R$8:$R$23)</x:f>
        <x:v>0</x:v>
      </x:c>
      <x:c r="J2" s="1" t="n">
        <x:f>SUMIF(Tableau!$E$8:$E$23,A2,Tableau!$G$8:$G$23)+SUMIF(Tableau!$J$8:$J$23,A2,Tableau!$L$8:$L$23)</x:f>
        <x:v>0</x:v>
      </x:c>
      <x:c r="K2" s="1" t="n">
        <x:f>SUMIF(Tableau!$E$8:$E$23,A2,Tableau!$H$8:$H$23)+SUMIF(Tableau!$J$8:$J$23,A2,Tableau!$M$8:$M$23)</x:f>
        <x:v>0</x:v>
      </x:c>
      <x:c r="L2" s="9" t="str">
        <x:f>IF(K2=0,"",J2/K2)</x:f>
      </x:c>
      <x:c r="M2" s="1" t="n">
        <x:f>MAX(Tableau!I8,Tableau!I12,Tableau!I16)</x:f>
        <x:v>0</x:v>
      </x:c>
      <x:c r="N2" s="1" t="str">
        <x:f>IF(O2&lt;&gt;"",O2,IF(COUNT(Tableau!Q8,Tableau!Q9,Tableau!Q12,Tableau!Q13,Tableau!Q16,Tableau!Q17)&lt;6,"",1+COUNTIFS($G$2:$G$10,G2,$I$2:$I$10,"&gt;"&amp;I2)+COUNTIFS($G$2:$G$10,G2,$I$2:$I$10,I2,$L$2:$L$10,"&gt;"&amp;L2)))</x:f>
      </x:c>
      <x:c r="O2" s="8"/>
      <x:c r="P2" s="1" t="str">
        <x:f>IF(N2="","",G2&amp;N2)</x:f>
      </x:c>
      <x:c r="Q2" s="1"/>
      <x:c r="R2" s="1"/>
    </x:row>
    <x:row r="3" ht="23" customHeight="1">
      <x:c r="A3" s="1" t="n">
        <x:v>2</x:v>
      </x:c>
      <x:c r="B3" s="8" t="str"/>
      <x:c r="C3" s="8" t="str"/>
      <x:c r="D3" s="8" t="str"/>
      <x:c r="E3" s="10"/>
      <x:c r="F3" s="8"/>
      <x:c r="G3" s="1" t="str">
        <x:v>B</x:v>
      </x:c>
      <x:c r="H3" s="1" t="n">
        <x:v>1</x:v>
      </x:c>
      <x:c r="I3" s="1" t="n">
        <x:f>SUMIF(Tableau!$E$8:$E$23,A3,Tableau!$Q$8:$Q$23)+SUMIF(Tableau!$J$8:$J$23,A3,Tableau!$R$8:$R$23)</x:f>
        <x:v>0</x:v>
      </x:c>
      <x:c r="J3" s="1" t="n">
        <x:f>SUMIF(Tableau!$E$8:$E$23,A3,Tableau!$G$8:$G$23)+SUMIF(Tableau!$J$8:$J$23,A3,Tableau!$L$8:$L$23)</x:f>
        <x:v>0</x:v>
      </x:c>
      <x:c r="K3" s="1" t="n">
        <x:f>SUMIF(Tableau!$E$8:$E$23,A3,Tableau!$H$8:$H$23)+SUMIF(Tableau!$J$8:$J$23,A3,Tableau!$M$8:$M$23)</x:f>
        <x:v>0</x:v>
      </x:c>
      <x:c r="L3" s="9" t="str">
        <x:f>IF(K3=0,"",J3/K3)</x:f>
      </x:c>
      <x:c r="M3" s="1" t="n">
        <x:f>MAX(Tableau!I11,Tableau!I14,Tableau!I20,Tableau!I23)</x:f>
        <x:v>0</x:v>
      </x:c>
      <x:c r="N3" s="1" t="str">
        <x:f>IF(O3&lt;&gt;"",O3,IF(COUNT(Tableau!Q10,Tableau!Q11,Tableau!Q14,Tableau!Q15,Tableau!Q18,Tableau!Q19,Tableau!Q20,Tableau!Q21,Tableau!Q22,Tableau!Q23)&lt;10,"",1+COUNTIFS($G$2:$G$10,G3,$I$2:$I$10,"&gt;"&amp;I3)+COUNTIFS($G$2:$G$10,G3,$I$2:$I$10,I3,$L$2:$L$10,"&gt;"&amp;L3)))</x:f>
      </x:c>
      <x:c r="O3" s="8"/>
      <x:c r="P3" s="1" t="str">
        <x:f>IF(N3="","",G3&amp;N3)</x:f>
      </x:c>
      <x:c r="Q3" s="1"/>
      <x:c r="R3" s="1"/>
    </x:row>
    <x:row r="4" ht="23" customHeight="1">
      <x:c r="A4" s="1" t="n">
        <x:v>3</x:v>
      </x:c>
      <x:c r="B4" s="8" t="str"/>
      <x:c r="C4" s="8" t="str"/>
      <x:c r="D4" s="8" t="str"/>
      <x:c r="E4" s="10"/>
      <x:c r="F4" s="8"/>
      <x:c r="G4" s="1" t="str">
        <x:v>B</x:v>
      </x:c>
      <x:c r="H4" s="1" t="n">
        <x:v>2</x:v>
      </x:c>
      <x:c r="I4" s="1" t="n">
        <x:f>SUMIF(Tableau!$E$8:$E$23,A4,Tableau!$Q$8:$Q$23)+SUMIF(Tableau!$J$8:$J$23,A4,Tableau!$R$8:$R$23)</x:f>
        <x:v>0</x:v>
      </x:c>
      <x:c r="J4" s="1" t="n">
        <x:f>SUMIF(Tableau!$E$8:$E$23,A4,Tableau!$G$8:$G$23)+SUMIF(Tableau!$J$8:$J$23,A4,Tableau!$L$8:$L$23)</x:f>
        <x:v>0</x:v>
      </x:c>
      <x:c r="K4" s="1" t="n">
        <x:f>SUMIF(Tableau!$E$8:$E$23,A4,Tableau!$H$8:$H$23)+SUMIF(Tableau!$J$8:$J$23,A4,Tableau!$M$8:$M$23)</x:f>
        <x:v>0</x:v>
      </x:c>
      <x:c r="L4" s="9" t="str">
        <x:f>IF(K4=0,"",J4/K4)</x:f>
      </x:c>
      <x:c r="M4" s="1" t="n">
        <x:f>MAX(Tableau!I10,Tableau!I15,Tableau!I18,Tableau!N23)</x:f>
        <x:v>0</x:v>
      </x:c>
      <x:c r="N4" s="1" t="str">
        <x:f>IF(O4&lt;&gt;"",O4,IF(COUNT(Tableau!Q10,Tableau!Q11,Tableau!Q14,Tableau!Q15,Tableau!Q18,Tableau!Q19,Tableau!Q20,Tableau!Q21,Tableau!Q22,Tableau!Q23)&lt;10,"",1+COUNTIFS($G$2:$G$10,G4,$I$2:$I$10,"&gt;"&amp;I4)+COUNTIFS($G$2:$G$10,G4,$I$2:$I$10,I4,$L$2:$L$10,"&gt;"&amp;L4)))</x:f>
      </x:c>
      <x:c r="O4" s="8"/>
      <x:c r="P4" s="1" t="str">
        <x:f>IF(N4="","",G4&amp;N4)</x:f>
      </x:c>
      <x:c r="Q4" s="1"/>
      <x:c r="R4" s="1"/>
    </x:row>
    <x:row r="5" ht="23" customHeight="1">
      <x:c r="A5" s="1" t="n">
        <x:v>4</x:v>
      </x:c>
      <x:c r="B5" s="8" t="str"/>
      <x:c r="C5" s="8" t="str"/>
      <x:c r="D5" s="8" t="str"/>
      <x:c r="E5" s="10"/>
      <x:c r="F5" s="8"/>
      <x:c r="G5" s="1" t="str">
        <x:v>A</x:v>
      </x:c>
      <x:c r="H5" s="1" t="n">
        <x:v>2</x:v>
      </x:c>
      <x:c r="I5" s="1" t="n">
        <x:f>SUMIF(Tableau!$E$8:$E$23,A5,Tableau!$Q$8:$Q$23)+SUMIF(Tableau!$J$8:$J$23,A5,Tableau!$R$8:$R$23)</x:f>
        <x:v>0</x:v>
      </x:c>
      <x:c r="J5" s="1" t="n">
        <x:f>SUMIF(Tableau!$E$8:$E$23,A5,Tableau!$G$8:$G$23)+SUMIF(Tableau!$J$8:$J$23,A5,Tableau!$L$8:$L$23)</x:f>
        <x:v>0</x:v>
      </x:c>
      <x:c r="K5" s="1" t="n">
        <x:f>SUMIF(Tableau!$E$8:$E$23,A5,Tableau!$H$8:$H$23)+SUMIF(Tableau!$J$8:$J$23,A5,Tableau!$M$8:$M$23)</x:f>
        <x:v>0</x:v>
      </x:c>
      <x:c r="L5" s="9" t="str">
        <x:f>IF(K5=0,"",J5/K5)</x:f>
      </x:c>
      <x:c r="M5" s="1" t="n">
        <x:f>MAX(Tableau!I9,Tableau!I13,Tableau!N16)</x:f>
        <x:v>0</x:v>
      </x:c>
      <x:c r="N5" s="1" t="str">
        <x:f>IF(O5&lt;&gt;"",O5,IF(COUNT(Tableau!Q8,Tableau!Q9,Tableau!Q12,Tableau!Q13,Tableau!Q16,Tableau!Q17)&lt;6,"",1+COUNTIFS($G$2:$G$10,G5,$I$2:$I$10,"&gt;"&amp;I5)+COUNTIFS($G$2:$G$10,G5,$I$2:$I$10,I5,$L$2:$L$10,"&gt;"&amp;L5)))</x:f>
      </x:c>
      <x:c r="O5" s="8"/>
      <x:c r="P5" s="1" t="str">
        <x:f>IF(N5="","",G5&amp;N5)</x:f>
      </x:c>
      <x:c r="Q5" s="1"/>
      <x:c r="R5" s="1"/>
    </x:row>
    <x:row r="6" ht="23" customHeight="1">
      <x:c r="A6" s="1" t="n">
        <x:v>5</x:v>
      </x:c>
      <x:c r="B6" s="8" t="str"/>
      <x:c r="C6" s="8" t="str"/>
      <x:c r="D6" s="8" t="str"/>
      <x:c r="E6" s="10"/>
      <x:c r="F6" s="8"/>
      <x:c r="G6" s="1" t="str">
        <x:v>A</x:v>
      </x:c>
      <x:c r="H6" s="1" t="n">
        <x:v>3</x:v>
      </x:c>
      <x:c r="I6" s="1" t="n">
        <x:f>SUMIF(Tableau!$E$8:$E$23,A6,Tableau!$Q$8:$Q$23)+SUMIF(Tableau!$J$8:$J$23,A6,Tableau!$R$8:$R$23)</x:f>
        <x:v>0</x:v>
      </x:c>
      <x:c r="J6" s="1" t="n">
        <x:f>SUMIF(Tableau!$E$8:$E$23,A6,Tableau!$G$8:$G$23)+SUMIF(Tableau!$J$8:$J$23,A6,Tableau!$L$8:$L$23)</x:f>
        <x:v>0</x:v>
      </x:c>
      <x:c r="K6" s="1" t="n">
        <x:f>SUMIF(Tableau!$E$8:$E$23,A6,Tableau!$H$8:$H$23)+SUMIF(Tableau!$J$8:$J$23,A6,Tableau!$M$8:$M$23)</x:f>
        <x:v>0</x:v>
      </x:c>
      <x:c r="L6" s="9" t="str">
        <x:f>IF(K6=0,"",J6/K6)</x:f>
      </x:c>
      <x:c r="M6" s="1" t="n">
        <x:f>MAX(Tableau!N9,Tableau!N12,Tableau!I17)</x:f>
        <x:v>0</x:v>
      </x:c>
      <x:c r="N6" s="1" t="str">
        <x:f>IF(O6&lt;&gt;"",O6,IF(COUNT(Tableau!Q8,Tableau!Q9,Tableau!Q12,Tableau!Q13,Tableau!Q16,Tableau!Q17)&lt;6,"",1+COUNTIFS($G$2:$G$10,G6,$I$2:$I$10,"&gt;"&amp;I6)+COUNTIFS($G$2:$G$10,G6,$I$2:$I$10,I6,$L$2:$L$10,"&gt;"&amp;L6)))</x:f>
      </x:c>
      <x:c r="O6" s="8"/>
      <x:c r="P6" s="1" t="str">
        <x:f>IF(N6="","",G6&amp;N6)</x:f>
      </x:c>
      <x:c r="Q6" s="1"/>
      <x:c r="R6" s="1"/>
    </x:row>
    <x:row r="7" ht="23" customHeight="1">
      <x:c r="A7" s="1" t="n">
        <x:v>6</x:v>
      </x:c>
      <x:c r="B7" s="8" t="str"/>
      <x:c r="C7" s="8" t="str"/>
      <x:c r="D7" s="8" t="str"/>
      <x:c r="E7" s="10"/>
      <x:c r="F7" s="8"/>
      <x:c r="G7" s="1" t="str">
        <x:v>B</x:v>
      </x:c>
      <x:c r="H7" s="1" t="n">
        <x:v>3</x:v>
      </x:c>
      <x:c r="I7" s="1" t="n">
        <x:f>SUMIF(Tableau!$E$8:$E$23,A7,Tableau!$Q$8:$Q$23)+SUMIF(Tableau!$J$8:$J$23,A7,Tableau!$R$8:$R$23)</x:f>
        <x:v>0</x:v>
      </x:c>
      <x:c r="J7" s="1" t="n">
        <x:f>SUMIF(Tableau!$E$8:$E$23,A7,Tableau!$G$8:$G$23)+SUMIF(Tableau!$J$8:$J$23,A7,Tableau!$L$8:$L$23)</x:f>
        <x:v>0</x:v>
      </x:c>
      <x:c r="K7" s="1" t="n">
        <x:f>SUMIF(Tableau!$E$8:$E$23,A7,Tableau!$H$8:$H$23)+SUMIF(Tableau!$J$8:$J$23,A7,Tableau!$M$8:$M$23)</x:f>
        <x:v>0</x:v>
      </x:c>
      <x:c r="L7" s="9" t="str">
        <x:f>IF(K7=0,"",J7/K7)</x:f>
      </x:c>
      <x:c r="M7" s="1" t="n">
        <x:f>MAX(Tableau!N15,Tableau!I19,Tableau!N20,Tableau!I22)</x:f>
        <x:v>0</x:v>
      </x:c>
      <x:c r="N7" s="1" t="str">
        <x:f>IF(O7&lt;&gt;"",O7,IF(COUNT(Tableau!Q10,Tableau!Q11,Tableau!Q14,Tableau!Q15,Tableau!Q18,Tableau!Q19,Tableau!Q20,Tableau!Q21,Tableau!Q22,Tableau!Q23)&lt;10,"",1+COUNTIFS($G$2:$G$10,G7,$I$2:$I$10,"&gt;"&amp;I7)+COUNTIFS($G$2:$G$10,G7,$I$2:$I$10,I7,$L$2:$L$10,"&gt;"&amp;L7)))</x:f>
      </x:c>
      <x:c r="O7" s="8"/>
      <x:c r="P7" s="1" t="str">
        <x:f>IF(N7="","",G7&amp;N7)</x:f>
      </x:c>
      <x:c r="Q7" s="1"/>
      <x:c r="R7" s="1"/>
    </x:row>
    <x:row r="8" ht="23" customHeight="1">
      <x:c r="A8" s="1" t="n">
        <x:v>7</x:v>
      </x:c>
      <x:c r="B8" s="8" t="str"/>
      <x:c r="C8" s="8" t="str"/>
      <x:c r="D8" s="8" t="str"/>
      <x:c r="E8" s="10"/>
      <x:c r="F8" s="8"/>
      <x:c r="G8" s="1" t="str">
        <x:v>B</x:v>
      </x:c>
      <x:c r="H8" s="1" t="n">
        <x:v>4</x:v>
      </x:c>
      <x:c r="I8" s="1" t="n">
        <x:f>SUMIF(Tableau!$E$8:$E$23,A8,Tableau!$Q$8:$Q$23)+SUMIF(Tableau!$J$8:$J$23,A8,Tableau!$R$8:$R$23)</x:f>
        <x:v>0</x:v>
      </x:c>
      <x:c r="J8" s="1" t="n">
        <x:f>SUMIF(Tableau!$E$8:$E$23,A8,Tableau!$G$8:$G$23)+SUMIF(Tableau!$J$8:$J$23,A8,Tableau!$L$8:$L$23)</x:f>
        <x:v>0</x:v>
      </x:c>
      <x:c r="K8" s="1" t="n">
        <x:f>SUMIF(Tableau!$E$8:$E$23,A8,Tableau!$H$8:$H$23)+SUMIF(Tableau!$J$8:$J$23,A8,Tableau!$M$8:$M$23)</x:f>
        <x:v>0</x:v>
      </x:c>
      <x:c r="L8" s="9" t="str">
        <x:f>IF(K8=0,"",J8/K8)</x:f>
      </x:c>
      <x:c r="M8" s="1" t="n">
        <x:f>MAX(Tableau!N10,Tableau!N14,Tableau!N19,Tableau!I21)</x:f>
        <x:v>0</x:v>
      </x:c>
      <x:c r="N8" s="1" t="str">
        <x:f>IF(O8&lt;&gt;"",O8,IF(COUNT(Tableau!Q10,Tableau!Q11,Tableau!Q14,Tableau!Q15,Tableau!Q18,Tableau!Q19,Tableau!Q20,Tableau!Q21,Tableau!Q22,Tableau!Q23)&lt;10,"",1+COUNTIFS($G$2:$G$10,G8,$I$2:$I$10,"&gt;"&amp;I8)+COUNTIFS($G$2:$G$10,G8,$I$2:$I$10,I8,$L$2:$L$10,"&gt;"&amp;L8)))</x:f>
      </x:c>
      <x:c r="O8" s="8"/>
      <x:c r="P8" s="1" t="str">
        <x:f>IF(N8="","",G8&amp;N8)</x:f>
      </x:c>
      <x:c r="Q8" s="1"/>
      <x:c r="R8" s="1"/>
    </x:row>
    <x:row r="9" ht="23" customHeight="1">
      <x:c r="A9" s="1" t="n">
        <x:v>8</x:v>
      </x:c>
      <x:c r="B9" s="8" t="str"/>
      <x:c r="C9" s="8" t="str"/>
      <x:c r="D9" s="8" t="str"/>
      <x:c r="E9" s="10"/>
      <x:c r="F9" s="8"/>
      <x:c r="G9" s="1" t="str">
        <x:v>A</x:v>
      </x:c>
      <x:c r="H9" s="1" t="n">
        <x:v>4</x:v>
      </x:c>
      <x:c r="I9" s="1" t="n">
        <x:f>SUMIF(Tableau!$E$8:$E$23,A9,Tableau!$Q$8:$Q$23)+SUMIF(Tableau!$J$8:$J$23,A9,Tableau!$R$8:$R$23)</x:f>
        <x:v>0</x:v>
      </x:c>
      <x:c r="J9" s="1" t="n">
        <x:f>SUMIF(Tableau!$E$8:$E$23,A9,Tableau!$G$8:$G$23)+SUMIF(Tableau!$J$8:$J$23,A9,Tableau!$L$8:$L$23)</x:f>
        <x:v>0</x:v>
      </x:c>
      <x:c r="K9" s="1" t="n">
        <x:f>SUMIF(Tableau!$E$8:$E$23,A9,Tableau!$H$8:$H$23)+SUMIF(Tableau!$J$8:$J$23,A9,Tableau!$M$8:$M$23)</x:f>
        <x:v>0</x:v>
      </x:c>
      <x:c r="L9" s="9" t="str">
        <x:f>IF(K9=0,"",J9/K9)</x:f>
      </x:c>
      <x:c r="M9" s="1" t="n">
        <x:f>MAX(Tableau!N8,Tableau!N13,Tableau!N17)</x:f>
        <x:v>0</x:v>
      </x:c>
      <x:c r="N9" s="1" t="str">
        <x:f>IF(O9&lt;&gt;"",O9,IF(COUNT(Tableau!Q8,Tableau!Q9,Tableau!Q12,Tableau!Q13,Tableau!Q16,Tableau!Q17)&lt;6,"",1+COUNTIFS($G$2:$G$10,G9,$I$2:$I$10,"&gt;"&amp;I9)+COUNTIFS($G$2:$G$10,G9,$I$2:$I$10,I9,$L$2:$L$10,"&gt;"&amp;L9)))</x:f>
      </x:c>
      <x:c r="O9" s="8"/>
      <x:c r="P9" s="1" t="str">
        <x:f>IF(N9="","",G9&amp;N9)</x:f>
      </x:c>
      <x:c r="Q9" s="1"/>
      <x:c r="R9" s="1"/>
    </x:row>
    <x:row r="10" ht="23" customHeight="1">
      <x:c r="A10" s="1" t="n">
        <x:v>9</x:v>
      </x:c>
      <x:c r="B10" s="8" t="str"/>
      <x:c r="C10" s="8" t="str"/>
      <x:c r="D10" s="8" t="str"/>
      <x:c r="E10" s="10"/>
      <x:c r="F10" s="8"/>
      <x:c r="G10" s="1" t="str">
        <x:v>B</x:v>
      </x:c>
      <x:c r="H10" s="1" t="n">
        <x:v>5</x:v>
      </x:c>
      <x:c r="I10" s="1" t="n">
        <x:f>SUMIF(Tableau!$E$8:$E$23,A10,Tableau!$Q$8:$Q$23)+SUMIF(Tableau!$J$8:$J$23,A10,Tableau!$R$8:$R$23)</x:f>
        <x:v>0</x:v>
      </x:c>
      <x:c r="J10" s="1" t="n">
        <x:f>SUMIF(Tableau!$E$8:$E$23,A10,Tableau!$G$8:$G$23)+SUMIF(Tableau!$J$8:$J$23,A10,Tableau!$L$8:$L$23)</x:f>
        <x:v>0</x:v>
      </x:c>
      <x:c r="K10" s="1" t="n">
        <x:f>SUMIF(Tableau!$E$8:$E$23,A10,Tableau!$H$8:$H$23)+SUMIF(Tableau!$J$8:$J$23,A10,Tableau!$M$8:$M$23)</x:f>
        <x:v>0</x:v>
      </x:c>
      <x:c r="L10" s="9" t="str">
        <x:f>IF(K10=0,"",J10/K10)</x:f>
      </x:c>
      <x:c r="M10" s="1" t="n">
        <x:f>MAX(Tableau!N11,Tableau!N18,Tableau!N21,Tableau!N22)</x:f>
        <x:v>0</x:v>
      </x:c>
      <x:c r="N10" s="1" t="str">
        <x:f>IF(O10&lt;&gt;"",O10,IF(COUNT(Tableau!Q10,Tableau!Q11,Tableau!Q14,Tableau!Q15,Tableau!Q18,Tableau!Q19,Tableau!Q20,Tableau!Q21,Tableau!Q22,Tableau!Q23)&lt;10,"",1+COUNTIFS($G$2:$G$10,G10,$I$2:$I$10,"&gt;"&amp;I10)+COUNTIFS($G$2:$G$10,G10,$I$2:$I$10,I10,$L$2:$L$10,"&gt;"&amp;L10)))</x:f>
      </x:c>
      <x:c r="O10" s="8"/>
      <x:c r="P10" s="1" t="str">
        <x:f>IF(N10="","",G10&amp;N10)</x:f>
      </x:c>
      <x:c r="Q10" s="1"/>
      <x:c r="R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</x:row>
    <x:row r="12" ht="23" customHeight="1">
      <x:c r="A12" s="1" t="str">
        <x:v>Rang: Matchpunkte, dann GD. Direkten Vergleich/BED und Vorgabewertung bei Bedarf mit Rang manuell festlegen.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</x:row>
    <x:row r="13" ht="23" customHeight="1">
      <x:c r="A13" s="1" t="str">
        <x:v>Gruppe A: Setzplätze 1/4/5/8. Gruppe B: 2/3/6/7/9. Ballvorgaben werden aus der Einladung übernommen.</x:v>
      </x:c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</x:row>
    <x:row r="14" ht="23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</x:sheetData>
  <x:mergeCells>
    <x:mergeCell ref="A12:P12"/>
    <x:mergeCell ref="A13:P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6" customHeight="1">
      <x:c r="A1" s="7" t="str">
        <x:v>GRUPPE/RUNDE</x:v>
      </x:c>
      <x:c r="B1" s="7" t="str">
        <x:v>PARTIE</x:v>
      </x:c>
      <x:c r="C1" s="7" t="str">
        <x:v>SATZ-NR.</x:v>
      </x:c>
      <x:c r="D1" s="7" t="str">
        <x:v>PASS-NR. SPIELER 1</x:v>
      </x:c>
      <x:c r="E1" s="7" t="str">
        <x:v>PASS-NR. SPIELER 2</x:v>
      </x:c>
      <x:c r="F1" s="7" t="str">
        <x:v>PUNKTE SPIELER 1</x:v>
      </x:c>
      <x:c r="G1" s="7" t="str">
        <x:v>PUNKTE SPIELER 2</x:v>
      </x:c>
      <x:c r="H1" s="7" t="str">
        <x:v>AUFNAHMEN SPIELER 1</x:v>
      </x:c>
      <x:c r="I1" s="7" t="str">
        <x:v>AUFNAHMEN SPIELER 2</x:v>
      </x:c>
      <x:c r="J1" s="7" t="str">
        <x:v>HÖCHSTSERIE SPIELER 1</x:v>
      </x:c>
      <x:c r="K1" s="7" t="str">
        <x:v>HÖCHSTSERIE SPIELER 2</x:v>
      </x:c>
      <x:c r="L1" s="7" t="str">
        <x:v>DATUM</x:v>
      </x:c>
      <x:c r="M1" s="7" t="str">
        <x:v>UHRZEIT</x:v>
      </x:c>
      <x:c r="N1" s="1"/>
      <x:c r="O1" s="1"/>
      <x:c r="P1" s="1"/>
      <x:c r="Q1" s="1"/>
      <x:c r="R1" s="1"/>
    </x:row>
    <x:row r="2" ht="23" customHeight="1">
      <x:c r="A2" s="1" t="str">
        <x:f>Tableau!D8</x:f>
        <x:v>A</x:v>
      </x:c>
      <x:c r="B2" s="1" t="n">
        <x:v>1</x:v>
      </x:c>
      <x:c r="C2" s="1" t="n">
        <x:v>1</x:v>
      </x:c>
      <x:c r="D2" s="1" t="str">
        <x:f>IF(Tableau!E8="","",INDEX(Teilnehmer!$C$2:$C$10,MATCH(Tableau!E8,Teilnehmer!$A$2:$A$10,0)))</x:f>
      </x:c>
      <x:c r="E2" s="1" t="str">
        <x:f>IF(Tableau!J8="","",INDEX(Teilnehmer!$C$2:$C$10,MATCH(Tableau!J8,Teilnehmer!$A$2:$A$10,0)))</x:f>
      </x:c>
      <x:c r="F2" s="1" t="str">
        <x:f>IF(NOT(ISNUMBER(Tableau!G8)),"",Tableau!G8)</x:f>
      </x:c>
      <x:c r="G2" s="1" t="str">
        <x:f>IF(NOT(ISNUMBER(Tableau!L8)),"",Tableau!L8)</x:f>
      </x:c>
      <x:c r="H2" s="1" t="str">
        <x:f>IF(NOT(ISNUMBER(Tableau!H8)),"",Tableau!H8)</x:f>
      </x:c>
      <x:c r="I2" s="1" t="str">
        <x:f>IF(NOT(ISNUMBER(Tableau!M8)),"",Tableau!M8)</x:f>
      </x:c>
      <x:c r="J2" s="1" t="str">
        <x:f>IF(NOT(ISNUMBER(Tableau!I8)),"",Tableau!I8)</x:f>
      </x:c>
      <x:c r="K2" s="1" t="str">
        <x:f>IF(NOT(ISNUMBER(Tableau!N8)),"",Tableau!N8)</x:f>
      </x:c>
      <x:c r="L2" s="3" t="str">
        <x:f>IF(Tableau!$G$3="","",Tableau!$G$3)</x:f>
      </x:c>
      <x:c r="M2" s="1"/>
      <x:c r="N2" s="1"/>
      <x:c r="O2" s="1"/>
      <x:c r="P2" s="1"/>
      <x:c r="Q2" s="1"/>
      <x:c r="R2" s="1"/>
    </x:row>
    <x:row r="3" ht="23" customHeight="1">
      <x:c r="A3" s="1" t="str">
        <x:f>Tableau!D9</x:f>
        <x:v>A</x:v>
      </x:c>
      <x:c r="B3" s="1" t="n">
        <x:v>2</x:v>
      </x:c>
      <x:c r="C3" s="1" t="n">
        <x:v>1</x:v>
      </x:c>
      <x:c r="D3" s="1" t="str">
        <x:f>IF(Tableau!E9="","",INDEX(Teilnehmer!$C$2:$C$10,MATCH(Tableau!E9,Teilnehmer!$A$2:$A$10,0)))</x:f>
      </x:c>
      <x:c r="E3" s="1" t="str">
        <x:f>IF(Tableau!J9="","",INDEX(Teilnehmer!$C$2:$C$10,MATCH(Tableau!J9,Teilnehmer!$A$2:$A$10,0)))</x:f>
      </x:c>
      <x:c r="F3" s="1" t="str">
        <x:f>IF(NOT(ISNUMBER(Tableau!G9)),"",Tableau!G9)</x:f>
      </x:c>
      <x:c r="G3" s="1" t="str">
        <x:f>IF(NOT(ISNUMBER(Tableau!L9)),"",Tableau!L9)</x:f>
      </x:c>
      <x:c r="H3" s="1" t="str">
        <x:f>IF(NOT(ISNUMBER(Tableau!H9)),"",Tableau!H9)</x:f>
      </x:c>
      <x:c r="I3" s="1" t="str">
        <x:f>IF(NOT(ISNUMBER(Tableau!M9)),"",Tableau!M9)</x:f>
      </x:c>
      <x:c r="J3" s="1" t="str">
        <x:f>IF(NOT(ISNUMBER(Tableau!I9)),"",Tableau!I9)</x:f>
      </x:c>
      <x:c r="K3" s="1" t="str">
        <x:f>IF(NOT(ISNUMBER(Tableau!N9)),"",Tableau!N9)</x:f>
      </x:c>
      <x:c r="L3" s="3" t="str">
        <x:f>IF(Tableau!$G$3="","",Tableau!$G$3)</x:f>
      </x:c>
      <x:c r="M3" s="1"/>
      <x:c r="N3" s="1"/>
      <x:c r="O3" s="1"/>
      <x:c r="P3" s="1"/>
      <x:c r="Q3" s="1"/>
      <x:c r="R3" s="1"/>
    </x:row>
    <x:row r="4" ht="23" customHeight="1">
      <x:c r="A4" s="1" t="str">
        <x:f>Tableau!D10</x:f>
        <x:v>B</x:v>
      </x:c>
      <x:c r="B4" s="1" t="n">
        <x:v>3</x:v>
      </x:c>
      <x:c r="C4" s="1" t="n">
        <x:v>1</x:v>
      </x:c>
      <x:c r="D4" s="1" t="str">
        <x:f>IF(Tableau!E10="","",INDEX(Teilnehmer!$C$2:$C$10,MATCH(Tableau!E10,Teilnehmer!$A$2:$A$10,0)))</x:f>
      </x:c>
      <x:c r="E4" s="1" t="str">
        <x:f>IF(Tableau!J10="","",INDEX(Teilnehmer!$C$2:$C$10,MATCH(Tableau!J10,Teilnehmer!$A$2:$A$10,0)))</x:f>
      </x:c>
      <x:c r="F4" s="1" t="str">
        <x:f>IF(NOT(ISNUMBER(Tableau!G10)),"",Tableau!G10)</x:f>
      </x:c>
      <x:c r="G4" s="1" t="str">
        <x:f>IF(NOT(ISNUMBER(Tableau!L10)),"",Tableau!L10)</x:f>
      </x:c>
      <x:c r="H4" s="1" t="str">
        <x:f>IF(NOT(ISNUMBER(Tableau!H10)),"",Tableau!H10)</x:f>
      </x:c>
      <x:c r="I4" s="1" t="str">
        <x:f>IF(NOT(ISNUMBER(Tableau!M10)),"",Tableau!M10)</x:f>
      </x:c>
      <x:c r="J4" s="1" t="str">
        <x:f>IF(NOT(ISNUMBER(Tableau!I10)),"",Tableau!I10)</x:f>
      </x:c>
      <x:c r="K4" s="1" t="str">
        <x:f>IF(NOT(ISNUMBER(Tableau!N10)),"",Tableau!N10)</x:f>
      </x:c>
      <x:c r="L4" s="3" t="str">
        <x:f>IF(Tableau!$G$3="","",Tableau!$G$3)</x:f>
      </x:c>
      <x:c r="M4" s="1"/>
      <x:c r="N4" s="1"/>
      <x:c r="O4" s="1"/>
      <x:c r="P4" s="1"/>
      <x:c r="Q4" s="1"/>
      <x:c r="R4" s="1"/>
    </x:row>
    <x:row r="5" ht="23" customHeight="1">
      <x:c r="A5" s="1" t="str">
        <x:f>Tableau!D11</x:f>
        <x:v>B</x:v>
      </x:c>
      <x:c r="B5" s="1" t="n">
        <x:v>4</x:v>
      </x:c>
      <x:c r="C5" s="1" t="n">
        <x:v>1</x:v>
      </x:c>
      <x:c r="D5" s="1" t="str">
        <x:f>IF(Tableau!E11="","",INDEX(Teilnehmer!$C$2:$C$10,MATCH(Tableau!E11,Teilnehmer!$A$2:$A$10,0)))</x:f>
      </x:c>
      <x:c r="E5" s="1" t="str">
        <x:f>IF(Tableau!J11="","",INDEX(Teilnehmer!$C$2:$C$10,MATCH(Tableau!J11,Teilnehmer!$A$2:$A$10,0)))</x:f>
      </x:c>
      <x:c r="F5" s="1" t="str">
        <x:f>IF(NOT(ISNUMBER(Tableau!G11)),"",Tableau!G11)</x:f>
      </x:c>
      <x:c r="G5" s="1" t="str">
        <x:f>IF(NOT(ISNUMBER(Tableau!L11)),"",Tableau!L11)</x:f>
      </x:c>
      <x:c r="H5" s="1" t="str">
        <x:f>IF(NOT(ISNUMBER(Tableau!H11)),"",Tableau!H11)</x:f>
      </x:c>
      <x:c r="I5" s="1" t="str">
        <x:f>IF(NOT(ISNUMBER(Tableau!M11)),"",Tableau!M11)</x:f>
      </x:c>
      <x:c r="J5" s="1" t="str">
        <x:f>IF(NOT(ISNUMBER(Tableau!I11)),"",Tableau!I11)</x:f>
      </x:c>
      <x:c r="K5" s="1" t="str">
        <x:f>IF(NOT(ISNUMBER(Tableau!N11)),"",Tableau!N11)</x:f>
      </x:c>
      <x:c r="L5" s="3" t="str">
        <x:f>IF(Tableau!$G$3="","",Tableau!$G$3)</x:f>
      </x:c>
      <x:c r="M5" s="1"/>
      <x:c r="N5" s="1"/>
      <x:c r="O5" s="1"/>
      <x:c r="P5" s="1"/>
      <x:c r="Q5" s="1"/>
      <x:c r="R5" s="1"/>
    </x:row>
    <x:row r="6" ht="23" customHeight="1">
      <x:c r="A6" s="1" t="str">
        <x:f>Tableau!D12</x:f>
        <x:v>A</x:v>
      </x:c>
      <x:c r="B6" s="1" t="n">
        <x:v>5</x:v>
      </x:c>
      <x:c r="C6" s="1" t="n">
        <x:v>1</x:v>
      </x:c>
      <x:c r="D6" s="1" t="str">
        <x:f>IF(Tableau!E12="","",INDEX(Teilnehmer!$C$2:$C$10,MATCH(Tableau!E12,Teilnehmer!$A$2:$A$10,0)))</x:f>
      </x:c>
      <x:c r="E6" s="1" t="str">
        <x:f>IF(Tableau!J12="","",INDEX(Teilnehmer!$C$2:$C$10,MATCH(Tableau!J12,Teilnehmer!$A$2:$A$10,0)))</x:f>
      </x:c>
      <x:c r="F6" s="1" t="str">
        <x:f>IF(NOT(ISNUMBER(Tableau!G12)),"",Tableau!G12)</x:f>
      </x:c>
      <x:c r="G6" s="1" t="str">
        <x:f>IF(NOT(ISNUMBER(Tableau!L12)),"",Tableau!L12)</x:f>
      </x:c>
      <x:c r="H6" s="1" t="str">
        <x:f>IF(NOT(ISNUMBER(Tableau!H12)),"",Tableau!H12)</x:f>
      </x:c>
      <x:c r="I6" s="1" t="str">
        <x:f>IF(NOT(ISNUMBER(Tableau!M12)),"",Tableau!M12)</x:f>
      </x:c>
      <x:c r="J6" s="1" t="str">
        <x:f>IF(NOT(ISNUMBER(Tableau!I12)),"",Tableau!I12)</x:f>
      </x:c>
      <x:c r="K6" s="1" t="str">
        <x:f>IF(NOT(ISNUMBER(Tableau!N12)),"",Tableau!N12)</x:f>
      </x:c>
      <x:c r="L6" s="3" t="str">
        <x:f>IF(Tableau!$G$3="","",Tableau!$G$3)</x:f>
      </x:c>
      <x:c r="M6" s="1"/>
      <x:c r="N6" s="1"/>
      <x:c r="O6" s="1"/>
      <x:c r="P6" s="1"/>
      <x:c r="Q6" s="1"/>
      <x:c r="R6" s="1"/>
    </x:row>
    <x:row r="7" ht="23" customHeight="1">
      <x:c r="A7" s="1" t="str">
        <x:f>Tableau!D13</x:f>
        <x:v>A</x:v>
      </x:c>
      <x:c r="B7" s="1" t="n">
        <x:v>6</x:v>
      </x:c>
      <x:c r="C7" s="1" t="n">
        <x:v>1</x:v>
      </x:c>
      <x:c r="D7" s="1" t="str">
        <x:f>IF(Tableau!E13="","",INDEX(Teilnehmer!$C$2:$C$10,MATCH(Tableau!E13,Teilnehmer!$A$2:$A$10,0)))</x:f>
      </x:c>
      <x:c r="E7" s="1" t="str">
        <x:f>IF(Tableau!J13="","",INDEX(Teilnehmer!$C$2:$C$10,MATCH(Tableau!J13,Teilnehmer!$A$2:$A$10,0)))</x:f>
      </x:c>
      <x:c r="F7" s="1" t="str">
        <x:f>IF(NOT(ISNUMBER(Tableau!G13)),"",Tableau!G13)</x:f>
      </x:c>
      <x:c r="G7" s="1" t="str">
        <x:f>IF(NOT(ISNUMBER(Tableau!L13)),"",Tableau!L13)</x:f>
      </x:c>
      <x:c r="H7" s="1" t="str">
        <x:f>IF(NOT(ISNUMBER(Tableau!H13)),"",Tableau!H13)</x:f>
      </x:c>
      <x:c r="I7" s="1" t="str">
        <x:f>IF(NOT(ISNUMBER(Tableau!M13)),"",Tableau!M13)</x:f>
      </x:c>
      <x:c r="J7" s="1" t="str">
        <x:f>IF(NOT(ISNUMBER(Tableau!I13)),"",Tableau!I13)</x:f>
      </x:c>
      <x:c r="K7" s="1" t="str">
        <x:f>IF(NOT(ISNUMBER(Tableau!N13)),"",Tableau!N13)</x:f>
      </x:c>
      <x:c r="L7" s="3" t="str">
        <x:f>IF(Tableau!$G$3="","",Tableau!$G$3)</x:f>
      </x:c>
      <x:c r="M7" s="1"/>
      <x:c r="N7" s="1"/>
      <x:c r="O7" s="1"/>
      <x:c r="P7" s="1"/>
      <x:c r="Q7" s="1"/>
      <x:c r="R7" s="1"/>
    </x:row>
    <x:row r="8" ht="23" customHeight="1">
      <x:c r="A8" s="1" t="str">
        <x:f>Tableau!D14</x:f>
        <x:v>B</x:v>
      </x:c>
      <x:c r="B8" s="1" t="n">
        <x:v>7</x:v>
      </x:c>
      <x:c r="C8" s="1" t="n">
        <x:v>1</x:v>
      </x:c>
      <x:c r="D8" s="1" t="str">
        <x:f>IF(Tableau!E14="","",INDEX(Teilnehmer!$C$2:$C$10,MATCH(Tableau!E14,Teilnehmer!$A$2:$A$10,0)))</x:f>
      </x:c>
      <x:c r="E8" s="1" t="str">
        <x:f>IF(Tableau!J14="","",INDEX(Teilnehmer!$C$2:$C$10,MATCH(Tableau!J14,Teilnehmer!$A$2:$A$10,0)))</x:f>
      </x:c>
      <x:c r="F8" s="1" t="str">
        <x:f>IF(NOT(ISNUMBER(Tableau!G14)),"",Tableau!G14)</x:f>
      </x:c>
      <x:c r="G8" s="1" t="str">
        <x:f>IF(NOT(ISNUMBER(Tableau!L14)),"",Tableau!L14)</x:f>
      </x:c>
      <x:c r="H8" s="1" t="str">
        <x:f>IF(NOT(ISNUMBER(Tableau!H14)),"",Tableau!H14)</x:f>
      </x:c>
      <x:c r="I8" s="1" t="str">
        <x:f>IF(NOT(ISNUMBER(Tableau!M14)),"",Tableau!M14)</x:f>
      </x:c>
      <x:c r="J8" s="1" t="str">
        <x:f>IF(NOT(ISNUMBER(Tableau!I14)),"",Tableau!I14)</x:f>
      </x:c>
      <x:c r="K8" s="1" t="str">
        <x:f>IF(NOT(ISNUMBER(Tableau!N14)),"",Tableau!N14)</x:f>
      </x:c>
      <x:c r="L8" s="3" t="str">
        <x:f>IF(Tableau!$G$3="","",Tableau!$G$3)</x:f>
      </x:c>
      <x:c r="M8" s="1"/>
      <x:c r="N8" s="1"/>
      <x:c r="O8" s="1"/>
      <x:c r="P8" s="1"/>
      <x:c r="Q8" s="1"/>
      <x:c r="R8" s="1"/>
    </x:row>
    <x:row r="9" ht="23" customHeight="1">
      <x:c r="A9" s="1" t="str">
        <x:f>Tableau!D15</x:f>
        <x:v>B</x:v>
      </x:c>
      <x:c r="B9" s="1" t="n">
        <x:v>8</x:v>
      </x:c>
      <x:c r="C9" s="1" t="n">
        <x:v>1</x:v>
      </x:c>
      <x:c r="D9" s="1" t="str">
        <x:f>IF(Tableau!E15="","",INDEX(Teilnehmer!$C$2:$C$10,MATCH(Tableau!E15,Teilnehmer!$A$2:$A$10,0)))</x:f>
      </x:c>
      <x:c r="E9" s="1" t="str">
        <x:f>IF(Tableau!J15="","",INDEX(Teilnehmer!$C$2:$C$10,MATCH(Tableau!J15,Teilnehmer!$A$2:$A$10,0)))</x:f>
      </x:c>
      <x:c r="F9" s="1" t="str">
        <x:f>IF(NOT(ISNUMBER(Tableau!G15)),"",Tableau!G15)</x:f>
      </x:c>
      <x:c r="G9" s="1" t="str">
        <x:f>IF(NOT(ISNUMBER(Tableau!L15)),"",Tableau!L15)</x:f>
      </x:c>
      <x:c r="H9" s="1" t="str">
        <x:f>IF(NOT(ISNUMBER(Tableau!H15)),"",Tableau!H15)</x:f>
      </x:c>
      <x:c r="I9" s="1" t="str">
        <x:f>IF(NOT(ISNUMBER(Tableau!M15)),"",Tableau!M15)</x:f>
      </x:c>
      <x:c r="J9" s="1" t="str">
        <x:f>IF(NOT(ISNUMBER(Tableau!I15)),"",Tableau!I15)</x:f>
      </x:c>
      <x:c r="K9" s="1" t="str">
        <x:f>IF(NOT(ISNUMBER(Tableau!N15)),"",Tableau!N15)</x:f>
      </x:c>
      <x:c r="L9" s="3" t="str">
        <x:f>IF(Tableau!$G$3="","",Tableau!$G$3)</x:f>
      </x:c>
      <x:c r="M9" s="1"/>
      <x:c r="N9" s="1"/>
      <x:c r="O9" s="1"/>
      <x:c r="P9" s="1"/>
      <x:c r="Q9" s="1"/>
      <x:c r="R9" s="1"/>
    </x:row>
    <x:row r="10" ht="23" customHeight="1">
      <x:c r="A10" s="1" t="str">
        <x:f>Tableau!D16</x:f>
        <x:v>A</x:v>
      </x:c>
      <x:c r="B10" s="1" t="n">
        <x:v>9</x:v>
      </x:c>
      <x:c r="C10" s="1" t="n">
        <x:v>1</x:v>
      </x:c>
      <x:c r="D10" s="1" t="str">
        <x:f>IF(Tableau!E16="","",INDEX(Teilnehmer!$C$2:$C$10,MATCH(Tableau!E16,Teilnehmer!$A$2:$A$10,0)))</x:f>
      </x:c>
      <x:c r="E10" s="1" t="str">
        <x:f>IF(Tableau!J16="","",INDEX(Teilnehmer!$C$2:$C$10,MATCH(Tableau!J16,Teilnehmer!$A$2:$A$10,0)))</x:f>
      </x:c>
      <x:c r="F10" s="1" t="str">
        <x:f>IF(NOT(ISNUMBER(Tableau!G16)),"",Tableau!G16)</x:f>
      </x:c>
      <x:c r="G10" s="1" t="str">
        <x:f>IF(NOT(ISNUMBER(Tableau!L16)),"",Tableau!L16)</x:f>
      </x:c>
      <x:c r="H10" s="1" t="str">
        <x:f>IF(NOT(ISNUMBER(Tableau!H16)),"",Tableau!H16)</x:f>
      </x:c>
      <x:c r="I10" s="1" t="str">
        <x:f>IF(NOT(ISNUMBER(Tableau!M16)),"",Tableau!M16)</x:f>
      </x:c>
      <x:c r="J10" s="1" t="str">
        <x:f>IF(NOT(ISNUMBER(Tableau!I16)),"",Tableau!I16)</x:f>
      </x:c>
      <x:c r="K10" s="1" t="str">
        <x:f>IF(NOT(ISNUMBER(Tableau!N16)),"",Tableau!N16)</x:f>
      </x:c>
      <x:c r="L10" s="3" t="str">
        <x:f>IF(Tableau!$G$3="","",Tableau!$G$3)</x:f>
      </x:c>
      <x:c r="M10" s="1"/>
      <x:c r="N10" s="1"/>
      <x:c r="O10" s="1"/>
      <x:c r="P10" s="1"/>
      <x:c r="Q10" s="1"/>
      <x:c r="R10" s="1"/>
    </x:row>
    <x:row r="11" ht="23" customHeight="1">
      <x:c r="A11" s="1" t="str">
        <x:f>Tableau!D17</x:f>
        <x:v>A</x:v>
      </x:c>
      <x:c r="B11" s="1" t="n">
        <x:v>10</x:v>
      </x:c>
      <x:c r="C11" s="1" t="n">
        <x:v>1</x:v>
      </x:c>
      <x:c r="D11" s="1" t="str">
        <x:f>IF(Tableau!E17="","",INDEX(Teilnehmer!$C$2:$C$10,MATCH(Tableau!E17,Teilnehmer!$A$2:$A$10,0)))</x:f>
      </x:c>
      <x:c r="E11" s="1" t="str">
        <x:f>IF(Tableau!J17="","",INDEX(Teilnehmer!$C$2:$C$10,MATCH(Tableau!J17,Teilnehmer!$A$2:$A$10,0)))</x:f>
      </x:c>
      <x:c r="F11" s="1" t="str">
        <x:f>IF(NOT(ISNUMBER(Tableau!G17)),"",Tableau!G17)</x:f>
      </x:c>
      <x:c r="G11" s="1" t="str">
        <x:f>IF(NOT(ISNUMBER(Tableau!L17)),"",Tableau!L17)</x:f>
      </x:c>
      <x:c r="H11" s="1" t="str">
        <x:f>IF(NOT(ISNUMBER(Tableau!H17)),"",Tableau!H17)</x:f>
      </x:c>
      <x:c r="I11" s="1" t="str">
        <x:f>IF(NOT(ISNUMBER(Tableau!M17)),"",Tableau!M17)</x:f>
      </x:c>
      <x:c r="J11" s="1" t="str">
        <x:f>IF(NOT(ISNUMBER(Tableau!I17)),"",Tableau!I17)</x:f>
      </x:c>
      <x:c r="K11" s="1" t="str">
        <x:f>IF(NOT(ISNUMBER(Tableau!N17)),"",Tableau!N17)</x:f>
      </x:c>
      <x:c r="L11" s="3" t="str">
        <x:f>IF(Tableau!$G$3="","",Tableau!$G$3)</x:f>
      </x:c>
      <x:c r="M11" s="1"/>
      <x:c r="N11" s="1"/>
      <x:c r="O11" s="1"/>
      <x:c r="P11" s="1"/>
      <x:c r="Q11" s="1"/>
      <x:c r="R11" s="1"/>
    </x:row>
    <x:row r="12" ht="23" customHeight="1">
      <x:c r="A12" s="1" t="str">
        <x:f>Tableau!D18</x:f>
        <x:v>B</x:v>
      </x:c>
      <x:c r="B12" s="1" t="n">
        <x:v>11</x:v>
      </x:c>
      <x:c r="C12" s="1" t="n">
        <x:v>1</x:v>
      </x:c>
      <x:c r="D12" s="1" t="str">
        <x:f>IF(Tableau!E18="","",INDEX(Teilnehmer!$C$2:$C$10,MATCH(Tableau!E18,Teilnehmer!$A$2:$A$10,0)))</x:f>
      </x:c>
      <x:c r="E12" s="1" t="str">
        <x:f>IF(Tableau!J18="","",INDEX(Teilnehmer!$C$2:$C$10,MATCH(Tableau!J18,Teilnehmer!$A$2:$A$10,0)))</x:f>
      </x:c>
      <x:c r="F12" s="1" t="str">
        <x:f>IF(NOT(ISNUMBER(Tableau!G18)),"",Tableau!G18)</x:f>
      </x:c>
      <x:c r="G12" s="1" t="str">
        <x:f>IF(NOT(ISNUMBER(Tableau!L18)),"",Tableau!L18)</x:f>
      </x:c>
      <x:c r="H12" s="1" t="str">
        <x:f>IF(NOT(ISNUMBER(Tableau!H18)),"",Tableau!H18)</x:f>
      </x:c>
      <x:c r="I12" s="1" t="str">
        <x:f>IF(NOT(ISNUMBER(Tableau!M18)),"",Tableau!M18)</x:f>
      </x:c>
      <x:c r="J12" s="1" t="str">
        <x:f>IF(NOT(ISNUMBER(Tableau!I18)),"",Tableau!I18)</x:f>
      </x:c>
      <x:c r="K12" s="1" t="str">
        <x:f>IF(NOT(ISNUMBER(Tableau!N18)),"",Tableau!N18)</x:f>
      </x:c>
      <x:c r="L12" s="3" t="str">
        <x:f>IF(Tableau!$G$3="","",Tableau!$G$3)</x:f>
      </x:c>
      <x:c r="M12" s="1"/>
      <x:c r="N12" s="1"/>
      <x:c r="O12" s="1"/>
      <x:c r="P12" s="1"/>
      <x:c r="Q12" s="1"/>
      <x:c r="R12" s="1"/>
    </x:row>
    <x:row r="13" ht="23" customHeight="1">
      <x:c r="A13" s="1" t="str">
        <x:f>Tableau!D19</x:f>
        <x:v>B</x:v>
      </x:c>
      <x:c r="B13" s="1" t="n">
        <x:v>12</x:v>
      </x:c>
      <x:c r="C13" s="1" t="n">
        <x:v>1</x:v>
      </x:c>
      <x:c r="D13" s="1" t="str">
        <x:f>IF(Tableau!E19="","",INDEX(Teilnehmer!$C$2:$C$10,MATCH(Tableau!E19,Teilnehmer!$A$2:$A$10,0)))</x:f>
      </x:c>
      <x:c r="E13" s="1" t="str">
        <x:f>IF(Tableau!J19="","",INDEX(Teilnehmer!$C$2:$C$10,MATCH(Tableau!J19,Teilnehmer!$A$2:$A$10,0)))</x:f>
      </x:c>
      <x:c r="F13" s="1" t="str">
        <x:f>IF(NOT(ISNUMBER(Tableau!G19)),"",Tableau!G19)</x:f>
      </x:c>
      <x:c r="G13" s="1" t="str">
        <x:f>IF(NOT(ISNUMBER(Tableau!L19)),"",Tableau!L19)</x:f>
      </x:c>
      <x:c r="H13" s="1" t="str">
        <x:f>IF(NOT(ISNUMBER(Tableau!H19)),"",Tableau!H19)</x:f>
      </x:c>
      <x:c r="I13" s="1" t="str">
        <x:f>IF(NOT(ISNUMBER(Tableau!M19)),"",Tableau!M19)</x:f>
      </x:c>
      <x:c r="J13" s="1" t="str">
        <x:f>IF(NOT(ISNUMBER(Tableau!I19)),"",Tableau!I19)</x:f>
      </x:c>
      <x:c r="K13" s="1" t="str">
        <x:f>IF(NOT(ISNUMBER(Tableau!N19)),"",Tableau!N19)</x:f>
      </x:c>
      <x:c r="L13" s="3" t="str">
        <x:f>IF(Tableau!$G$3="","",Tableau!$G$3)</x:f>
      </x:c>
      <x:c r="M13" s="1"/>
      <x:c r="N13" s="1"/>
      <x:c r="O13" s="1"/>
      <x:c r="P13" s="1"/>
      <x:c r="Q13" s="1"/>
      <x:c r="R13" s="1"/>
    </x:row>
    <x:row r="14" ht="23" customHeight="1">
      <x:c r="A14" s="1" t="str">
        <x:f>Tableau!D20</x:f>
        <x:v>B</x:v>
      </x:c>
      <x:c r="B14" s="1" t="n">
        <x:v>13</x:v>
      </x:c>
      <x:c r="C14" s="1" t="n">
        <x:v>1</x:v>
      </x:c>
      <x:c r="D14" s="1" t="str">
        <x:f>IF(Tableau!E20="","",INDEX(Teilnehmer!$C$2:$C$10,MATCH(Tableau!E20,Teilnehmer!$A$2:$A$10,0)))</x:f>
      </x:c>
      <x:c r="E14" s="1" t="str">
        <x:f>IF(Tableau!J20="","",INDEX(Teilnehmer!$C$2:$C$10,MATCH(Tableau!J20,Teilnehmer!$A$2:$A$10,0)))</x:f>
      </x:c>
      <x:c r="F14" s="1" t="str">
        <x:f>IF(NOT(ISNUMBER(Tableau!G20)),"",Tableau!G20)</x:f>
      </x:c>
      <x:c r="G14" s="1" t="str">
        <x:f>IF(NOT(ISNUMBER(Tableau!L20)),"",Tableau!L20)</x:f>
      </x:c>
      <x:c r="H14" s="1" t="str">
        <x:f>IF(NOT(ISNUMBER(Tableau!H20)),"",Tableau!H20)</x:f>
      </x:c>
      <x:c r="I14" s="1" t="str">
        <x:f>IF(NOT(ISNUMBER(Tableau!M20)),"",Tableau!M20)</x:f>
      </x:c>
      <x:c r="J14" s="1" t="str">
        <x:f>IF(NOT(ISNUMBER(Tableau!I20)),"",Tableau!I20)</x:f>
      </x:c>
      <x:c r="K14" s="1" t="str">
        <x:f>IF(NOT(ISNUMBER(Tableau!N20)),"",Tableau!N20)</x:f>
      </x:c>
      <x:c r="L14" s="3" t="str">
        <x:f>IF(Tableau!$G$3="","",Tableau!$G$3)</x:f>
      </x:c>
      <x:c r="M14" s="1"/>
      <x:c r="N14" s="1"/>
      <x:c r="O14" s="1"/>
      <x:c r="P14" s="1"/>
      <x:c r="Q14" s="1"/>
      <x:c r="R14" s="1"/>
    </x:row>
    <x:row r="15" ht="23" customHeight="1">
      <x:c r="A15" s="1" t="str">
        <x:f>Tableau!D21</x:f>
        <x:v>B</x:v>
      </x:c>
      <x:c r="B15" s="1" t="n">
        <x:v>14</x:v>
      </x:c>
      <x:c r="C15" s="1" t="n">
        <x:v>1</x:v>
      </x:c>
      <x:c r="D15" s="1" t="str">
        <x:f>IF(Tableau!E21="","",INDEX(Teilnehmer!$C$2:$C$10,MATCH(Tableau!E21,Teilnehmer!$A$2:$A$10,0)))</x:f>
      </x:c>
      <x:c r="E15" s="1" t="str">
        <x:f>IF(Tableau!J21="","",INDEX(Teilnehmer!$C$2:$C$10,MATCH(Tableau!J21,Teilnehmer!$A$2:$A$10,0)))</x:f>
      </x:c>
      <x:c r="F15" s="1" t="str">
        <x:f>IF(NOT(ISNUMBER(Tableau!G21)),"",Tableau!G21)</x:f>
      </x:c>
      <x:c r="G15" s="1" t="str">
        <x:f>IF(NOT(ISNUMBER(Tableau!L21)),"",Tableau!L21)</x:f>
      </x:c>
      <x:c r="H15" s="1" t="str">
        <x:f>IF(NOT(ISNUMBER(Tableau!H21)),"",Tableau!H21)</x:f>
      </x:c>
      <x:c r="I15" s="1" t="str">
        <x:f>IF(NOT(ISNUMBER(Tableau!M21)),"",Tableau!M21)</x:f>
      </x:c>
      <x:c r="J15" s="1" t="str">
        <x:f>IF(NOT(ISNUMBER(Tableau!I21)),"",Tableau!I21)</x:f>
      </x:c>
      <x:c r="K15" s="1" t="str">
        <x:f>IF(NOT(ISNUMBER(Tableau!N21)),"",Tableau!N21)</x:f>
      </x:c>
      <x:c r="L15" s="3" t="str">
        <x:f>IF(Tableau!$G$3="","",Tableau!$G$3)</x:f>
      </x:c>
      <x:c r="M15" s="1"/>
      <x:c r="N15" s="1"/>
      <x:c r="O15" s="1"/>
      <x:c r="P15" s="1"/>
      <x:c r="Q15" s="1"/>
      <x:c r="R15" s="1"/>
    </x:row>
    <x:row r="16" ht="23" customHeight="1">
      <x:c r="A16" s="1" t="str">
        <x:f>Tableau!D22</x:f>
        <x:v>B</x:v>
      </x:c>
      <x:c r="B16" s="1" t="n">
        <x:v>15</x:v>
      </x:c>
      <x:c r="C16" s="1" t="n">
        <x:v>1</x:v>
      </x:c>
      <x:c r="D16" s="1" t="str">
        <x:f>IF(Tableau!E22="","",INDEX(Teilnehmer!$C$2:$C$10,MATCH(Tableau!E22,Teilnehmer!$A$2:$A$10,0)))</x:f>
      </x:c>
      <x:c r="E16" s="1" t="str">
        <x:f>IF(Tableau!J22="","",INDEX(Teilnehmer!$C$2:$C$10,MATCH(Tableau!J22,Teilnehmer!$A$2:$A$10,0)))</x:f>
      </x:c>
      <x:c r="F16" s="1" t="str">
        <x:f>IF(NOT(ISNUMBER(Tableau!G22)),"",Tableau!G22)</x:f>
      </x:c>
      <x:c r="G16" s="1" t="str">
        <x:f>IF(NOT(ISNUMBER(Tableau!L22)),"",Tableau!L22)</x:f>
      </x:c>
      <x:c r="H16" s="1" t="str">
        <x:f>IF(NOT(ISNUMBER(Tableau!H22)),"",Tableau!H22)</x:f>
      </x:c>
      <x:c r="I16" s="1" t="str">
        <x:f>IF(NOT(ISNUMBER(Tableau!M22)),"",Tableau!M22)</x:f>
      </x:c>
      <x:c r="J16" s="1" t="str">
        <x:f>IF(NOT(ISNUMBER(Tableau!I22)),"",Tableau!I22)</x:f>
      </x:c>
      <x:c r="K16" s="1" t="str">
        <x:f>IF(NOT(ISNUMBER(Tableau!N22)),"",Tableau!N22)</x:f>
      </x:c>
      <x:c r="L16" s="3" t="str">
        <x:f>IF(Tableau!$G$3="","",Tableau!$G$3)</x:f>
      </x:c>
      <x:c r="M16" s="1"/>
      <x:c r="N16" s="1"/>
      <x:c r="O16" s="1"/>
      <x:c r="P16" s="1"/>
      <x:c r="Q16" s="1"/>
      <x:c r="R16" s="1"/>
    </x:row>
    <x:row r="17" ht="23" customHeight="1">
      <x:c r="A17" s="1" t="str">
        <x:f>Tableau!D23</x:f>
        <x:v>B</x:v>
      </x:c>
      <x:c r="B17" s="1" t="n">
        <x:v>16</x:v>
      </x:c>
      <x:c r="C17" s="1" t="n">
        <x:v>1</x:v>
      </x:c>
      <x:c r="D17" s="1" t="str">
        <x:f>IF(Tableau!E23="","",INDEX(Teilnehmer!$C$2:$C$10,MATCH(Tableau!E23,Teilnehmer!$A$2:$A$10,0)))</x:f>
      </x:c>
      <x:c r="E17" s="1" t="str">
        <x:f>IF(Tableau!J23="","",INDEX(Teilnehmer!$C$2:$C$10,MATCH(Tableau!J23,Teilnehmer!$A$2:$A$10,0)))</x:f>
      </x:c>
      <x:c r="F17" s="1" t="str">
        <x:f>IF(NOT(ISNUMBER(Tableau!G23)),"",Tableau!G23)</x:f>
      </x:c>
      <x:c r="G17" s="1" t="str">
        <x:f>IF(NOT(ISNUMBER(Tableau!L23)),"",Tableau!L23)</x:f>
      </x:c>
      <x:c r="H17" s="1" t="str">
        <x:f>IF(NOT(ISNUMBER(Tableau!H23)),"",Tableau!H23)</x:f>
      </x:c>
      <x:c r="I17" s="1" t="str">
        <x:f>IF(NOT(ISNUMBER(Tableau!M23)),"",Tableau!M23)</x:f>
      </x:c>
      <x:c r="J17" s="1" t="str">
        <x:f>IF(NOT(ISNUMBER(Tableau!I23)),"",Tableau!I23)</x:f>
      </x:c>
      <x:c r="K17" s="1" t="str">
        <x:f>IF(NOT(ISNUMBER(Tableau!N23)),"",Tableau!N23)</x:f>
      </x:c>
      <x:c r="L17" s="3" t="str">
        <x:f>IF(Tableau!$G$3="","",Tableau!$G$3)</x:f>
      </x:c>
      <x:c r="M17" s="1"/>
      <x:c r="N17" s="1"/>
      <x:c r="O17" s="1"/>
      <x:c r="P17" s="1"/>
      <x:c r="Q17" s="1"/>
      <x:c r="R17" s="1"/>
    </x:row>
    <x:row r="18" ht="23" customHeight="1">
      <x:c r="A18" s="1" t="str">
        <x:f>Tableau!D24</x:f>
        <x:v>HF1</x:v>
      </x:c>
      <x:c r="B18" s="1" t="n">
        <x:v>17</x:v>
      </x:c>
      <x:c r="C18" s="1" t="n">
        <x:v>1</x:v>
      </x:c>
      <x:c r="D18" s="1" t="str">
        <x:f>IF(Tableau!E24="","",INDEX(Teilnehmer!$C$2:$C$10,MATCH(Tableau!E24,Teilnehmer!$A$2:$A$10,0)))</x:f>
      </x:c>
      <x:c r="E18" s="1" t="str">
        <x:f>IF(Tableau!J24="","",INDEX(Teilnehmer!$C$2:$C$10,MATCH(Tableau!J24,Teilnehmer!$A$2:$A$10,0)))</x:f>
      </x:c>
      <x:c r="F18" s="1" t="str">
        <x:f>IF(NOT(ISNUMBER(Tableau!G24)),"",Tableau!G24)</x:f>
      </x:c>
      <x:c r="G18" s="1" t="str">
        <x:f>IF(NOT(ISNUMBER(Tableau!L24)),"",Tableau!L24)</x:f>
      </x:c>
      <x:c r="H18" s="1" t="str">
        <x:f>IF(NOT(ISNUMBER(Tableau!H24)),"",Tableau!H24)</x:f>
      </x:c>
      <x:c r="I18" s="1" t="str">
        <x:f>IF(NOT(ISNUMBER(Tableau!M24)),"",Tableau!M24)</x:f>
      </x:c>
      <x:c r="J18" s="1" t="str">
        <x:f>IF(NOT(ISNUMBER(Tableau!I24)),"",Tableau!I24)</x:f>
      </x:c>
      <x:c r="K18" s="1" t="str">
        <x:f>IF(NOT(ISNUMBER(Tableau!N24)),"",Tableau!N24)</x:f>
      </x:c>
      <x:c r="L18" s="3" t="str">
        <x:f>IF(Tableau!$G$3="","",Tableau!$G$3)</x:f>
      </x:c>
      <x:c r="M18" s="1"/>
      <x:c r="N18" s="1"/>
      <x:c r="O18" s="1"/>
      <x:c r="P18" s="1"/>
      <x:c r="Q18" s="1"/>
      <x:c r="R18" s="1"/>
    </x:row>
    <x:row r="19" ht="23" customHeight="1">
      <x:c r="A19" s="1" t="str">
        <x:f>Tableau!D25</x:f>
        <x:v>HF2</x:v>
      </x:c>
      <x:c r="B19" s="1" t="n">
        <x:v>18</x:v>
      </x:c>
      <x:c r="C19" s="1" t="n">
        <x:v>1</x:v>
      </x:c>
      <x:c r="D19" s="1" t="str">
        <x:f>IF(Tableau!E25="","",INDEX(Teilnehmer!$C$2:$C$10,MATCH(Tableau!E25,Teilnehmer!$A$2:$A$10,0)))</x:f>
      </x:c>
      <x:c r="E19" s="1" t="str">
        <x:f>IF(Tableau!J25="","",INDEX(Teilnehmer!$C$2:$C$10,MATCH(Tableau!J25,Teilnehmer!$A$2:$A$10,0)))</x:f>
      </x:c>
      <x:c r="F19" s="1" t="str">
        <x:f>IF(NOT(ISNUMBER(Tableau!G25)),"",Tableau!G25)</x:f>
      </x:c>
      <x:c r="G19" s="1" t="str">
        <x:f>IF(NOT(ISNUMBER(Tableau!L25)),"",Tableau!L25)</x:f>
      </x:c>
      <x:c r="H19" s="1" t="str">
        <x:f>IF(NOT(ISNUMBER(Tableau!H25)),"",Tableau!H25)</x:f>
      </x:c>
      <x:c r="I19" s="1" t="str">
        <x:f>IF(NOT(ISNUMBER(Tableau!M25)),"",Tableau!M25)</x:f>
      </x:c>
      <x:c r="J19" s="1" t="str">
        <x:f>IF(NOT(ISNUMBER(Tableau!I25)),"",Tableau!I25)</x:f>
      </x:c>
      <x:c r="K19" s="1" t="str">
        <x:f>IF(NOT(ISNUMBER(Tableau!N25)),"",Tableau!N25)</x:f>
      </x:c>
      <x:c r="L19" s="3" t="str">
        <x:f>IF(Tableau!$G$3="","",Tableau!$G$3)</x:f>
      </x:c>
      <x:c r="M19" s="1"/>
      <x:c r="N19" s="1"/>
      <x:c r="O19" s="1"/>
      <x:c r="P19" s="1"/>
      <x:c r="Q19" s="1"/>
      <x:c r="R19" s="1"/>
    </x:row>
    <x:row r="20" ht="23" customHeight="1">
      <x:c r="A20" s="1" t="str">
        <x:f>Tableau!D26</x:f>
        <x:v>Platz 5–6</x:v>
      </x:c>
      <x:c r="B20" s="1" t="n">
        <x:v>19</x:v>
      </x:c>
      <x:c r="C20" s="1" t="n">
        <x:v>1</x:v>
      </x:c>
      <x:c r="D20" s="1" t="str">
        <x:f>IF(Tableau!E26="","",INDEX(Teilnehmer!$C$2:$C$10,MATCH(Tableau!E26,Teilnehmer!$A$2:$A$10,0)))</x:f>
      </x:c>
      <x:c r="E20" s="1" t="str">
        <x:f>IF(Tableau!J26="","",INDEX(Teilnehmer!$C$2:$C$10,MATCH(Tableau!J26,Teilnehmer!$A$2:$A$10,0)))</x:f>
      </x:c>
      <x:c r="F20" s="1" t="str">
        <x:f>IF(NOT(ISNUMBER(Tableau!G26)),"",Tableau!G26)</x:f>
      </x:c>
      <x:c r="G20" s="1" t="str">
        <x:f>IF(NOT(ISNUMBER(Tableau!L26)),"",Tableau!L26)</x:f>
      </x:c>
      <x:c r="H20" s="1" t="str">
        <x:f>IF(NOT(ISNUMBER(Tableau!H26)),"",Tableau!H26)</x:f>
      </x:c>
      <x:c r="I20" s="1" t="str">
        <x:f>IF(NOT(ISNUMBER(Tableau!M26)),"",Tableau!M26)</x:f>
      </x:c>
      <x:c r="J20" s="1" t="str">
        <x:f>IF(NOT(ISNUMBER(Tableau!I26)),"",Tableau!I26)</x:f>
      </x:c>
      <x:c r="K20" s="1" t="str">
        <x:f>IF(NOT(ISNUMBER(Tableau!N26)),"",Tableau!N26)</x:f>
      </x:c>
      <x:c r="L20" s="3" t="str">
        <x:f>IF(Tableau!$G$3="","",Tableau!$G$3)</x:f>
      </x:c>
      <x:c r="M20" s="1"/>
      <x:c r="N20" s="1"/>
      <x:c r="O20" s="1"/>
      <x:c r="P20" s="1"/>
      <x:c r="Q20" s="1"/>
      <x:c r="R20" s="1"/>
    </x:row>
    <x:row r="21" ht="23" customHeight="1">
      <x:c r="A21" s="1" t="str">
        <x:f>Tableau!D27</x:f>
        <x:v>Platz 7–8</x:v>
      </x:c>
      <x:c r="B21" s="1" t="n">
        <x:v>20</x:v>
      </x:c>
      <x:c r="C21" s="1" t="n">
        <x:v>1</x:v>
      </x:c>
      <x:c r="D21" s="1" t="str">
        <x:f>IF(Tableau!E27="","",INDEX(Teilnehmer!$C$2:$C$10,MATCH(Tableau!E27,Teilnehmer!$A$2:$A$10,0)))</x:f>
      </x:c>
      <x:c r="E21" s="1" t="str">
        <x:f>IF(Tableau!J27="","",INDEX(Teilnehmer!$C$2:$C$10,MATCH(Tableau!J27,Teilnehmer!$A$2:$A$10,0)))</x:f>
      </x:c>
      <x:c r="F21" s="1" t="str">
        <x:f>IF(NOT(ISNUMBER(Tableau!G27)),"",Tableau!G27)</x:f>
      </x:c>
      <x:c r="G21" s="1" t="str">
        <x:f>IF(NOT(ISNUMBER(Tableau!L27)),"",Tableau!L27)</x:f>
      </x:c>
      <x:c r="H21" s="1" t="str">
        <x:f>IF(NOT(ISNUMBER(Tableau!H27)),"",Tableau!H27)</x:f>
      </x:c>
      <x:c r="I21" s="1" t="str">
        <x:f>IF(NOT(ISNUMBER(Tableau!M27)),"",Tableau!M27)</x:f>
      </x:c>
      <x:c r="J21" s="1" t="str">
        <x:f>IF(NOT(ISNUMBER(Tableau!I27)),"",Tableau!I27)</x:f>
      </x:c>
      <x:c r="K21" s="1" t="str">
        <x:f>IF(NOT(ISNUMBER(Tableau!N27)),"",Tableau!N27)</x:f>
      </x:c>
      <x:c r="L21" s="3" t="str">
        <x:f>IF(Tableau!$G$3="","",Tableau!$G$3)</x:f>
      </x:c>
      <x:c r="M21" s="1"/>
      <x:c r="N21" s="1"/>
      <x:c r="O21" s="1"/>
      <x:c r="P21" s="1"/>
      <x:c r="Q21" s="1"/>
      <x:c r="R21" s="1"/>
    </x:row>
    <x:row r="22" ht="23" customHeight="1">
      <x:c r="A22" s="1" t="str">
        <x:f>Tableau!D28</x:f>
        <x:v>Finale</x:v>
      </x:c>
      <x:c r="B22" s="1" t="n">
        <x:v>21</x:v>
      </x:c>
      <x:c r="C22" s="1" t="n">
        <x:v>1</x:v>
      </x:c>
      <x:c r="D22" s="1" t="str">
        <x:f>IF(Tableau!E28="","",INDEX(Teilnehmer!$C$2:$C$10,MATCH(Tableau!E28,Teilnehmer!$A$2:$A$10,0)))</x:f>
      </x:c>
      <x:c r="E22" s="1" t="str">
        <x:f>IF(Tableau!J28="","",INDEX(Teilnehmer!$C$2:$C$10,MATCH(Tableau!J28,Teilnehmer!$A$2:$A$10,0)))</x:f>
      </x:c>
      <x:c r="F22" s="1" t="str">
        <x:f>IF(NOT(ISNUMBER(Tableau!G28)),"",Tableau!G28)</x:f>
      </x:c>
      <x:c r="G22" s="1" t="str">
        <x:f>IF(NOT(ISNUMBER(Tableau!L28)),"",Tableau!L28)</x:f>
      </x:c>
      <x:c r="H22" s="1" t="str">
        <x:f>IF(NOT(ISNUMBER(Tableau!H28)),"",Tableau!H28)</x:f>
      </x:c>
      <x:c r="I22" s="1" t="str">
        <x:f>IF(NOT(ISNUMBER(Tableau!M28)),"",Tableau!M28)</x:f>
      </x:c>
      <x:c r="J22" s="1" t="str">
        <x:f>IF(NOT(ISNUMBER(Tableau!I28)),"",Tableau!I28)</x:f>
      </x:c>
      <x:c r="K22" s="1" t="str">
        <x:f>IF(NOT(ISNUMBER(Tableau!N28)),"",Tableau!N28)</x:f>
      </x:c>
      <x:c r="L22" s="3" t="str">
        <x:f>IF(Tableau!$G$3="","",Tableau!$G$3)</x:f>
      </x:c>
      <x:c r="M22" s="1"/>
      <x:c r="N22" s="1"/>
      <x:c r="O22" s="1"/>
      <x:c r="P22" s="1"/>
      <x:c r="Q22" s="1"/>
      <x:c r="R22" s="1"/>
    </x:row>
    <x:row r="23" ht="23" customHeight="1">
      <x:c r="A23" s="1" t="str">
        <x:f>Tableau!D29</x:f>
        <x:v>Platz 3–4</x:v>
      </x:c>
      <x:c r="B23" s="1" t="n">
        <x:v>22</x:v>
      </x:c>
      <x:c r="C23" s="1" t="n">
        <x:v>1</x:v>
      </x:c>
      <x:c r="D23" s="1" t="str">
        <x:f>IF(Tableau!E29="","",INDEX(Teilnehmer!$C$2:$C$10,MATCH(Tableau!E29,Teilnehmer!$A$2:$A$10,0)))</x:f>
      </x:c>
      <x:c r="E23" s="1" t="str">
        <x:f>IF(Tableau!J29="","",INDEX(Teilnehmer!$C$2:$C$10,MATCH(Tableau!J29,Teilnehmer!$A$2:$A$10,0)))</x:f>
      </x:c>
      <x:c r="F23" s="1" t="str">
        <x:f>IF(NOT(ISNUMBER(Tableau!G29)),"",Tableau!G29)</x:f>
      </x:c>
      <x:c r="G23" s="1" t="str">
        <x:f>IF(NOT(ISNUMBER(Tableau!L29)),"",Tableau!L29)</x:f>
      </x:c>
      <x:c r="H23" s="1" t="str">
        <x:f>IF(NOT(ISNUMBER(Tableau!H29)),"",Tableau!H29)</x:f>
      </x:c>
      <x:c r="I23" s="1" t="str">
        <x:f>IF(NOT(ISNUMBER(Tableau!M29)),"",Tableau!M29)</x:f>
      </x:c>
      <x:c r="J23" s="1" t="str">
        <x:f>IF(NOT(ISNUMBER(Tableau!I29)),"",Tableau!I29)</x:f>
      </x:c>
      <x:c r="K23" s="1" t="str">
        <x:f>IF(NOT(ISNUMBER(Tableau!N29)),"",Tableau!N29)</x:f>
      </x:c>
      <x:c r="L23" s="3" t="str">
        <x:f>IF(Tableau!$G$3="","",Tableau!$G$3)</x:f>
      </x:c>
      <x:c r="M23" s="1"/>
      <x:c r="N23" s="1"/>
      <x:c r="O23" s="1"/>
      <x:c r="P23" s="1"/>
      <x:c r="Q23" s="1"/>
      <x:c r="R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</x:sheetData>
  <x:pageMargins left="0.7" right="0.7" top="0.75" bottom="0.75" header="0.3" footer="0.3"/>
</x:worksheet>
</file>