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c8c54dca7b4739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Gruppe A" sheetId="1" ns1:id="R3b84c1e1b2b141fb"/>
    <x:sheet name="Gruppe B" sheetId="2" ns1:id="R94439bf219614067"/>
    <x:sheet name="Finalrunde" sheetId="3" ns1:id="R1ba88e7bf9404fd9"/>
    <x:sheet name="Teilnehmer" sheetId="4" ns1:id="R3237eebf8c9d4749"/>
    <x:sheet name="CSV Export" sheetId="5" ns1:id="R3ca468bbf08e41dc"/>
    <x:sheet name="Rangliste" sheetId="6" ns1:id="Rc0597fc3f95347a5"/>
  </x:sheets>
  <x:definedNames>
    <x:definedName name="_xlnm.Print_Area" localSheetId="0">'Gruppe A'!$A$1:$T$18</x:definedName>
    <x:definedName name="_xlnm.Print_Area" localSheetId="1">'Gruppe B'!$A$1:$T$21</x:definedName>
    <x:definedName name="_xlnm.Print_Area" localSheetId="2">'Finalrunde'!$A$1:$T$51</x:definedName>
    <x:definedName name="_xlnm.Print_Area" localSheetId="3">'Teilnehmer'!$A$1:$P$12</x:definedName>
    <x:definedName name="_xlnm.Print_Area" localSheetId="4">'CSV Export'!$A$1:$M$23</x:definedName>
    <x:definedName name="_xlnm.Print_Area" localSheetId="5">'Rangliste'!$A$1:$T$15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.mm.yyyy"/>
    <x:numFmt numFmtId="201" formatCode="0.000"/>
  </x:numFmts>
  <x:fonts count="4">
    <x:font>
      <x:sz val="11"/>
      <x:name val="Carlito"/>
    </x:font>
    <x:font>
      <x:sz val="10"/>
      <x:name val="Arial"/>
    </x:font>
    <x:font>
      <x:b/>
      <x:sz val="20"/>
      <x:name val="Times New Roman"/>
    </x:font>
    <x:font>
      <x:b/>
      <x:sz val="1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2EFD9"/>
      </x:patternFill>
    </x:fill>
    <x:fill>
      <x:patternFill patternType="solid">
        <x:fgColor rgb="FFBFBFBF"/>
      </x:patternFill>
    </x:fill>
    <x:fill>
      <x:patternFill patternType="solid">
        <x:fgColor rgb="FFE2EFD9"/>
      </x:patternFill>
    </x:fill>
    <x:fill>
      <x:patternFill patternType="solid">
        <x:fgColor rgb="FFBFBFBF"/>
      </x:patternFill>
    </x:fill>
  </x:fills>
  <x:borders count="11">
    <x:border/>
    <x:border>
      <x:left style="medium">
        <x:color rgb="FF000000"/>
      </x:left>
      <x:top style="medium">
        <x:color rgb="FF000000"/>
      </x:top>
    </x:border>
    <x:border>
      <x:right style="medium">
        <x:color rgb="FF000000"/>
      </x:right>
      <x:top style="medium">
        <x:color rgb="FF000000"/>
      </x:top>
    </x:border>
    <x:border>
      <x:left style="medium">
        <x:color rgb="FF000000"/>
      </x:left>
    </x:border>
    <x:border>
      <x:right style="medium">
        <x:color rgb="FF000000"/>
      </x:right>
    </x:border>
    <x:border>
      <x:left style="medium">
        <x:color rgb="FF000000"/>
      </x:left>
      <x:bottom style="medium">
        <x:color rgb="FF000000"/>
      </x:bottom>
    </x:border>
    <x:border>
      <x:right style="medium">
        <x:color rgb="FF000000"/>
      </x:right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000000"/>
      </x:left>
      <x:right style="medium">
        <x:color rgb="FF000000"/>
      </x:right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7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0" fontId="1" fillId="3" borderId="2" xfId="0" applyNumberFormat="1" applyFont="1" applyFill="1" applyBorder="1" applyAlignment="1">
      <x:alignment vertical="center"/>
    </x:xf>
    <x:xf numFmtId="0" fontId="1" fillId="3" borderId="3" xfId="0" applyNumberFormat="1" applyFont="1" applyFill="1" applyBorder="1" applyAlignment="1">
      <x:alignment vertical="center"/>
    </x:xf>
    <x:xf numFmtId="0" fontId="1" fillId="3" borderId="4" xfId="0" applyNumberFormat="1" applyFont="1" applyFill="1" applyBorder="1" applyAlignment="1">
      <x:alignment vertical="center"/>
    </x:xf>
    <x:xf numFmtId="0" fontId="1" fillId="3" borderId="5" xfId="0" applyNumberFormat="1" applyFont="1" applyFill="1" applyBorder="1" applyAlignment="1">
      <x:alignment vertical="center"/>
    </x:xf>
    <x:xf numFmtId="0" fontId="1" fillId="3" borderId="6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2" borderId="6" xfId="0" applyNumberFormat="1" applyFont="1" applyFill="1" applyBorder="1" applyAlignment="1">
      <x:alignment vertical="center"/>
    </x:xf>
    <x:xf numFmtId="201" fontId="1" fillId="0" borderId="5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/>
    </x:xf>
    <x:xf numFmtId="201" fontId="1" fillId="0" borderId="7" xfId="0" applyNumberFormat="1" applyFont="1" applyFill="1" applyBorder="1" applyAlignment="1">
      <x:alignment vertical="center"/>
    </x:xf>
    <x:xf numFmtId="201" fontId="1" fillId="0" borderId="8" xfId="0" applyNumberFormat="1" applyFont="1" applyFill="1" applyBorder="1" applyAlignment="1">
      <x:alignment vertical="center"/>
    </x:xf>
    <x:xf numFmtId="201" fontId="1" fillId="0" borderId="9" xfId="0" applyNumberFormat="1" applyFont="1" applyFill="1" applyBorder="1" applyAlignment="1">
      <x:alignment vertical="center"/>
    </x:xf>
    <x:xf numFmtId="0" fontId="3" fillId="0" borderId="7" xfId="0" applyNumberFormat="1" applyFont="1" applyFill="1" applyBorder="1" applyAlignment="1">
      <x:alignment vertical="center" wrapText="1"/>
    </x:xf>
    <x:xf numFmtId="0" fontId="3" fillId="0" borderId="8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0" fontId="3" fillId="0" borderId="10" xfId="0" applyNumberFormat="1" applyFont="1" applyFill="1" applyBorder="1" applyAlignment="1">
      <x:alignment vertical="center" wrapText="1"/>
    </x:xf>
    <x:xf numFmtId="0" fontId="3" fillId="2" borderId="1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  <x:xf numFmtId="200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/>
    <x:xf numFmtId="0" fontId="1" fillId="0" borderId="2" xfId="0" applyNumberFormat="1" applyFont="1" applyFill="1" applyBorder="1"/>
    <x:xf numFmtId="0" fontId="1" fillId="0" borderId="3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5" borderId="1" xfId="0" applyNumberFormat="1" applyFont="1" applyFill="1" applyBorder="1"/>
    <x:xf numFmtId="0" fontId="1" fillId="5" borderId="2" xfId="0" applyNumberFormat="1" applyFont="1" applyFill="1" applyBorder="1"/>
    <x:xf numFmtId="0" fontId="1" fillId="5" borderId="3" xfId="0" applyNumberFormat="1" applyFont="1" applyFill="1" applyBorder="1"/>
    <x:xf numFmtId="0" fontId="1" fillId="5" borderId="4" xfId="0" applyNumberFormat="1" applyFont="1" applyFill="1" applyBorder="1"/>
    <x:xf numFmtId="0" fontId="1" fillId="5" borderId="5" xfId="0" applyNumberFormat="1" applyFont="1" applyFill="1" applyBorder="1"/>
    <x:xf numFmtId="0" fontId="1" fillId="5" borderId="6" xfId="0" applyNumberFormat="1" applyFont="1" applyFill="1" applyBorder="1"/>
    <x:xf numFmtId="0" fontId="1" fillId="4" borderId="1" xfId="0" applyNumberFormat="1" applyFont="1" applyFill="1" applyBorder="1"/>
    <x:xf numFmtId="0" fontId="1" fillId="4" borderId="2" xfId="0" applyNumberFormat="1" applyFont="1" applyFill="1" applyBorder="1"/>
    <x:xf numFmtId="0" fontId="1" fillId="4" borderId="6" xfId="0" applyNumberFormat="1" applyFont="1" applyFill="1" applyBorder="1"/>
    <x:xf numFmtId="0" fontId="1" fillId="4" borderId="3" xfId="0" applyNumberFormat="1" applyFont="1" applyFill="1" applyBorder="1"/>
    <x:xf numFmtId="201" fontId="1" fillId="0" borderId="5" xfId="0" applyNumberFormat="1" applyFont="1" applyFill="1" applyBorder="1"/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201" fontId="1" fillId="0" borderId="7" xfId="0" applyNumberFormat="1" applyFont="1" applyFill="1" applyBorder="1"/>
    <x:xf numFmtId="201" fontId="1" fillId="0" borderId="8" xfId="0" applyNumberFormat="1" applyFont="1" applyFill="1" applyBorder="1"/>
    <x:xf numFmtId="201" fontId="1" fillId="0" borderId="9" xfId="0" applyNumberFormat="1" applyFont="1" applyFill="1" applyBorder="1"/>
    <x:xf numFmtId="0" fontId="3" fillId="4" borderId="0" xfId="0" applyNumberFormat="1" applyFont="1" applyFill="1" applyBorder="1"/>
    <x:xf numFmtId="201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bb58b549cc4990" /><Relationship Type="http://schemas.openxmlformats.org/officeDocument/2006/relationships/theme" Target="/xl/theme/theme1.xml" Id="R8cc78316b4854353" /><Relationship Type="http://schemas.openxmlformats.org/officeDocument/2006/relationships/sharedStrings" Target="/xl/sharedStrings.xml" Id="Rb85a2b08fdc3432f" /><Relationship Type="http://schemas.openxmlformats.org/officeDocument/2006/relationships/worksheet" Target="/xl/worksheets/sheet1.xml" Id="R3b84c1e1b2b141fb" /><Relationship Type="http://schemas.openxmlformats.org/officeDocument/2006/relationships/worksheet" Target="/xl/worksheets/sheet2.xml" Id="R94439bf219614067" /><Relationship Type="http://schemas.openxmlformats.org/officeDocument/2006/relationships/worksheet" Target="/xl/worksheets/sheet3.xml" Id="R1ba88e7bf9404fd9" /><Relationship Type="http://schemas.openxmlformats.org/officeDocument/2006/relationships/worksheet" Target="/xl/worksheets/sheet4.xml" Id="R3237eebf8c9d4749" /><Relationship Type="http://schemas.openxmlformats.org/officeDocument/2006/relationships/worksheet" Target="/xl/worksheets/sheet5.xml" Id="R3ca468bbf08e41dc" /><Relationship Type="http://schemas.openxmlformats.org/officeDocument/2006/relationships/worksheet" Target="/xl/worksheets/sheet6.xml" Id="Rc0597fc3f95347a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3" hidden="0" customWidth="1"/>
    <x:col min="13" max="13" width="3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</x:cols>
  <x:sheetData>
    <x:row r="1" ht="36" customHeight="1">
      <x:c r="A1" s="7" t="str">
        <x:v>2=gewonnen  1=unentschieden</x:v>
      </x:c>
      <x:c r="B1" s="2"/>
      <x:c r="C1" s="2"/>
      <x:c r="D1" s="5" t="str">
        <x:v>T16a – Gruppe A</x:v>
      </x:c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2"/>
      <x:c r="R1" s="2" t="str">
        <x:v>Ausrichter:</x:v>
      </x:c>
      <x:c r="S1" s="2" t="str"/>
      <x:c r="T1" s="2"/>
    </x:row>
    <x:row r="2" ht="24" customHeight="1">
      <x:c r="A2" s="7" t="str">
        <x:v>0=verloren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 t="str">
        <x:v>Datum:</x:v>
      </x:c>
      <x:c r="S2" s="6"/>
      <x:c r="T2" s="2"/>
    </x:row>
    <x:row r="3" ht="48" customHeight="1">
      <x:c r="A3" s="35" t="str">
        <x:v>Name</x:v>
      </x:c>
      <x:c r="B3" s="36" t="str">
        <x:f>IF(Teilnehmer!B2="","",Teilnehmer!B2)</x:f>
      </x:c>
      <x:c r="C3" s="36"/>
      <x:c r="D3" s="36" t="str">
        <x:f>IF(Teilnehmer!B5="","",Teilnehmer!B5)</x:f>
      </x:c>
      <x:c r="E3" s="36"/>
      <x:c r="F3" s="36" t="str">
        <x:f>IF(Teilnehmer!B6="","",Teilnehmer!B6)</x:f>
      </x:c>
      <x:c r="G3" s="36"/>
      <x:c r="H3" s="36" t="str">
        <x:f>IF(Teilnehmer!B9="","",Teilnehmer!B9)</x:f>
      </x:c>
      <x:c r="I3" s="36"/>
      <x:c r="J3" s="35"/>
      <x:c r="K3" s="35"/>
      <x:c r="L3" s="8"/>
      <x:c r="M3" s="8"/>
      <x:c r="N3" s="35" t="str">
        <x:v>Partie-punkte</x:v>
      </x:c>
      <x:c r="O3" s="35" t="str">
        <x:v>Bälle</x:v>
      </x:c>
      <x:c r="P3" s="35" t="str">
        <x:v>Aufnahmen</x:v>
      </x:c>
      <x:c r="Q3" s="35" t="str">
        <x:v>BED</x:v>
      </x:c>
      <x:c r="R3" s="35" t="str">
        <x:v>DS</x:v>
      </x:c>
      <x:c r="S3" s="35" t="str">
        <x:v>HS</x:v>
      </x:c>
      <x:c r="T3" s="35" t="str">
        <x:v>Platz</x:v>
      </x:c>
    </x:row>
    <x:row r="4" ht="24" customHeight="1">
      <x:c r="A4" s="33" t="str">
        <x:f>IF(Teilnehmer!B2="","",Teilnehmer!B2)</x:f>
      </x:c>
      <x:c r="B4" s="16" t="str">
        <x:v>Bälle</x:v>
      </x:c>
      <x:c r="C4" s="17" t="str">
        <x:v>Aufn.</x:v>
      </x:c>
      <x:c r="D4" s="22"/>
      <x:c r="E4" s="23"/>
      <x:c r="F4" s="22"/>
      <x:c r="G4" s="23"/>
      <x:c r="H4" s="22"/>
      <x:c r="I4" s="23"/>
      <x:c r="J4" s="2"/>
      <x:c r="K4" s="2"/>
      <x:c r="L4" s="2"/>
      <x:c r="M4" s="2"/>
      <x:c r="N4" s="26" t="str">
        <x:f>IF(COUNT(D5,F5,H5)=0,"",SUM(D5,F5,H5))</x:f>
      </x:c>
      <x:c r="O4" s="26" t="str">
        <x:f>IF(COUNT(D4,F4,H4)=0,"",SUM(D4,F4,H4))</x:f>
      </x:c>
      <x:c r="P4" s="26" t="str">
        <x:f>IF(COUNT(E4,G4,I4)=0,"",SUM(E4,G4,I4))</x:f>
      </x:c>
      <x:c r="Q4" s="29" t="str">
        <x:f>IF(COUNT(D5,F5,H5)=0,"",MAX(IF(D5=2,D6,0),IF(F5=2,F6,0),IF(H5=2,H6,0)))</x:f>
      </x:c>
      <x:c r="R4" s="29" t="str">
        <x:f>IF(P4&gt;0,TRUNC(O4/P4,3),"")</x:f>
      </x:c>
      <x:c r="S4" s="26" t="str">
        <x:f>IF(COUNT(E6,G6,I6)=0,"",MAX(E6,G6,I6))</x:f>
      </x:c>
      <x:c r="T4" s="26" t="str">
        <x:f>IF(Teilnehmer!O2&lt;&gt;"",Teilnehmer!O2,IF(COUNT(D5,F5,H5,F8,H8,H11)&lt;6,"",1+IF(AND(ISNUMBER(N4),N4&gt;N4),1,0)+IF(AND(ISNUMBER(N4),N4=N4,ISNUMBER(R4),R4&gt;R4),1,0)+IF(AND(ISNUMBER(N7),N7&gt;N4),1,0)+IF(AND(ISNUMBER(N7),N7=N4,ISNUMBER(R7),R7&gt;R4),1,0)+IF(AND(ISNUMBER(N10),N10&gt;N4),1,0)+IF(AND(ISNUMBER(N10),N10=N4,ISNUMBER(R10),R10&gt;R4),1,0)+IF(AND(ISNUMBER(N13),N13&gt;N4),1,0)+IF(AND(ISNUMBER(N13),N13=N4,ISNUMBER(R13),R13&gt;R4),1,0)))</x:f>
      </x:c>
    </x:row>
    <x:row r="5" ht="24" customHeight="1">
      <x:c r="A5" s="33"/>
      <x:c r="B5" s="18" t="str">
        <x:v>Partiepunkte</x:v>
      </x:c>
      <x:c r="C5" s="19"/>
      <x:c r="D5" s="12" t="str">
        <x:f>IF(AND(ISNUMBER(D4),ISNUMBER(B7)),IF(IF(AND(Teilnehmer!F2&gt;0,Teilnehmer!F5&gt;0),D4/Teilnehmer!F2,D4)&gt;IF(AND(Teilnehmer!F2&gt;0,Teilnehmer!F5&gt;0),B7/Teilnehmer!F5,B7),2,IF(IF(AND(Teilnehmer!F2&gt;0,Teilnehmer!F5&gt;0),D4/Teilnehmer!F2,D4)=IF(AND(Teilnehmer!F2&gt;0,Teilnehmer!F5&gt;0),B7/Teilnehmer!F5,B7),1,0)),"")</x:f>
      </x:c>
      <x:c r="E5" s="13"/>
      <x:c r="F5" s="12" t="str">
        <x:f>IF(AND(ISNUMBER(F4),ISNUMBER(B10)),IF(IF(AND(Teilnehmer!F2&gt;0,Teilnehmer!F6&gt;0),F4/Teilnehmer!F2,F4)&gt;IF(AND(Teilnehmer!F2&gt;0,Teilnehmer!F6&gt;0),B10/Teilnehmer!F6,B10),2,IF(IF(AND(Teilnehmer!F2&gt;0,Teilnehmer!F6&gt;0),F4/Teilnehmer!F2,F4)=IF(AND(Teilnehmer!F2&gt;0,Teilnehmer!F6&gt;0),B10/Teilnehmer!F6,B10),1,0)),"")</x:f>
      </x:c>
      <x:c r="G5" s="13"/>
      <x:c r="H5" s="12" t="str">
        <x:f>IF(AND(ISNUMBER(H4),ISNUMBER(B13)),IF(IF(AND(Teilnehmer!F2&gt;0,Teilnehmer!F9&gt;0),H4/Teilnehmer!F2,H4)&gt;IF(AND(Teilnehmer!F2&gt;0,Teilnehmer!F9&gt;0),B13/Teilnehmer!F9,B13),2,IF(IF(AND(Teilnehmer!F2&gt;0,Teilnehmer!F9&gt;0),H4/Teilnehmer!F2,H4)=IF(AND(Teilnehmer!F2&gt;0,Teilnehmer!F9&gt;0),B13/Teilnehmer!F9,B13),1,0)),"")</x:f>
      </x:c>
      <x:c r="I5" s="13"/>
      <x:c r="J5" s="2"/>
      <x:c r="K5" s="2"/>
      <x:c r="L5" s="2"/>
      <x:c r="M5" s="2"/>
      <x:c r="N5" s="27"/>
      <x:c r="O5" s="27"/>
      <x:c r="P5" s="27"/>
      <x:c r="Q5" s="30"/>
      <x:c r="R5" s="30"/>
      <x:c r="S5" s="27"/>
      <x:c r="T5" s="27"/>
    </x:row>
    <x:row r="6" ht="24" customHeight="1">
      <x:c r="A6" s="33"/>
      <x:c r="B6" s="20" t="str">
        <x:v>DS</x:v>
      </x:c>
      <x:c r="C6" s="21" t="str">
        <x:v>HS</x:v>
      </x:c>
      <x:c r="D6" s="25" t="str">
        <x:f>IF(AND(ISNUMBER(D4),E4&gt;0),TRUNC(D4/E4,3),"")</x:f>
      </x:c>
      <x:c r="E6" s="24"/>
      <x:c r="F6" s="25" t="str">
        <x:f>IF(AND(ISNUMBER(F4),G4&gt;0),TRUNC(F4/G4,3),"")</x:f>
      </x:c>
      <x:c r="G6" s="24"/>
      <x:c r="H6" s="25" t="str">
        <x:f>IF(AND(ISNUMBER(H4),I4&gt;0),TRUNC(H4/I4,3),"")</x:f>
      </x:c>
      <x:c r="I6" s="24"/>
      <x:c r="J6" s="2"/>
      <x:c r="K6" s="2"/>
      <x:c r="L6" s="2"/>
      <x:c r="M6" s="2"/>
      <x:c r="N6" s="28"/>
      <x:c r="O6" s="28"/>
      <x:c r="P6" s="28"/>
      <x:c r="Q6" s="31"/>
      <x:c r="R6" s="31"/>
      <x:c r="S6" s="28"/>
      <x:c r="T6" s="28"/>
    </x:row>
    <x:row r="7" ht="24" customHeight="1">
      <x:c r="A7" s="33" t="str">
        <x:f>IF(Teilnehmer!B5="","",Teilnehmer!B5)</x:f>
      </x:c>
      <x:c r="B7" s="22"/>
      <x:c r="C7" s="23" t="str">
        <x:f>IF(ISNUMBER(E4),E4,"")</x:f>
      </x:c>
      <x:c r="D7" s="16" t="str">
        <x:v>Bälle</x:v>
      </x:c>
      <x:c r="E7" s="17" t="str">
        <x:v>Aufn.</x:v>
      </x:c>
      <x:c r="F7" s="22"/>
      <x:c r="G7" s="23"/>
      <x:c r="H7" s="22"/>
      <x:c r="I7" s="23"/>
      <x:c r="J7" s="2"/>
      <x:c r="K7" s="2"/>
      <x:c r="L7" s="2"/>
      <x:c r="M7" s="2"/>
      <x:c r="N7" s="26" t="str">
        <x:f>IF(COUNT(B8,F8,H8)=0,"",SUM(B8,F8,H8))</x:f>
      </x:c>
      <x:c r="O7" s="26" t="str">
        <x:f>IF(COUNT(B7,F7,H7)=0,"",SUM(B7,F7,H7))</x:f>
      </x:c>
      <x:c r="P7" s="26" t="str">
        <x:f>IF(COUNT(C7,G7,I7)=0,"",SUM(C7,G7,I7))</x:f>
      </x:c>
      <x:c r="Q7" s="29" t="str">
        <x:f>IF(COUNT(B8,F8,H8)=0,"",MAX(IF(B8=2,B9,0),IF(F8=2,F9,0),IF(H8=2,H9,0)))</x:f>
      </x:c>
      <x:c r="R7" s="29" t="str">
        <x:f>IF(P7&gt;0,TRUNC(O7/P7,3),"")</x:f>
      </x:c>
      <x:c r="S7" s="26" t="str">
        <x:f>IF(COUNT(C9,G9,I9)=0,"",MAX(C9,G9,I9))</x:f>
      </x:c>
      <x:c r="T7" s="26" t="str">
        <x:f>IF(Teilnehmer!O5&lt;&gt;"",Teilnehmer!O5,IF(COUNT(D5,F5,H5,F8,H8,H11)&lt;6,"",1+IF(AND(ISNUMBER(N4),N4&gt;N7),1,0)+IF(AND(ISNUMBER(N4),N4=N7,ISNUMBER(R4),R4&gt;R7),1,0)+IF(AND(ISNUMBER(N7),N7&gt;N7),1,0)+IF(AND(ISNUMBER(N7),N7=N7,ISNUMBER(R7),R7&gt;R7),1,0)+IF(AND(ISNUMBER(N10),N10&gt;N7),1,0)+IF(AND(ISNUMBER(N10),N10=N7,ISNUMBER(R10),R10&gt;R7),1,0)+IF(AND(ISNUMBER(N13),N13&gt;N7),1,0)+IF(AND(ISNUMBER(N13),N13=N7,ISNUMBER(R13),R13&gt;R7),1,0)))</x:f>
      </x:c>
    </x:row>
    <x:row r="8" ht="24" customHeight="1">
      <x:c r="A8" s="33"/>
      <x:c r="B8" s="12" t="str">
        <x:f>IF(AND(ISNUMBER(B7),ISNUMBER(D4)),IF(IF(AND(Teilnehmer!F5&gt;0,Teilnehmer!F2&gt;0),B7/Teilnehmer!F5,B7)&gt;IF(AND(Teilnehmer!F5&gt;0,Teilnehmer!F2&gt;0),D4/Teilnehmer!F2,D4),2,IF(IF(AND(Teilnehmer!F5&gt;0,Teilnehmer!F2&gt;0),B7/Teilnehmer!F5,B7)=IF(AND(Teilnehmer!F5&gt;0,Teilnehmer!F2&gt;0),D4/Teilnehmer!F2,D4),1,0)),"")</x:f>
      </x:c>
      <x:c r="C8" s="13"/>
      <x:c r="D8" s="18" t="str">
        <x:v>Partiepunkte</x:v>
      </x:c>
      <x:c r="E8" s="19"/>
      <x:c r="F8" s="12" t="str">
        <x:f>IF(AND(ISNUMBER(F7),ISNUMBER(D10)),IF(IF(AND(Teilnehmer!F5&gt;0,Teilnehmer!F6&gt;0),F7/Teilnehmer!F5,F7)&gt;IF(AND(Teilnehmer!F5&gt;0,Teilnehmer!F6&gt;0),D10/Teilnehmer!F6,D10),2,IF(IF(AND(Teilnehmer!F5&gt;0,Teilnehmer!F6&gt;0),F7/Teilnehmer!F5,F7)=IF(AND(Teilnehmer!F5&gt;0,Teilnehmer!F6&gt;0),D10/Teilnehmer!F6,D10),1,0)),"")</x:f>
      </x:c>
      <x:c r="G8" s="13"/>
      <x:c r="H8" s="12" t="str">
        <x:f>IF(AND(ISNUMBER(H7),ISNUMBER(D13)),IF(IF(AND(Teilnehmer!F5&gt;0,Teilnehmer!F9&gt;0),H7/Teilnehmer!F5,H7)&gt;IF(AND(Teilnehmer!F5&gt;0,Teilnehmer!F9&gt;0),D13/Teilnehmer!F9,D13),2,IF(IF(AND(Teilnehmer!F5&gt;0,Teilnehmer!F9&gt;0),H7/Teilnehmer!F5,H7)=IF(AND(Teilnehmer!F5&gt;0,Teilnehmer!F9&gt;0),D13/Teilnehmer!F9,D13),1,0)),"")</x:f>
      </x:c>
      <x:c r="I8" s="13"/>
      <x:c r="J8" s="2"/>
      <x:c r="K8" s="2"/>
      <x:c r="L8" s="2"/>
      <x:c r="M8" s="2"/>
      <x:c r="N8" s="27"/>
      <x:c r="O8" s="27"/>
      <x:c r="P8" s="27"/>
      <x:c r="Q8" s="30"/>
      <x:c r="R8" s="30"/>
      <x:c r="S8" s="27"/>
      <x:c r="T8" s="27"/>
    </x:row>
    <x:row r="9" ht="24" customHeight="1">
      <x:c r="A9" s="33"/>
      <x:c r="B9" s="25" t="str">
        <x:f>IF(AND(ISNUMBER(B7),C7&gt;0),TRUNC(B7/C7,3),"")</x:f>
      </x:c>
      <x:c r="C9" s="24"/>
      <x:c r="D9" s="20" t="str">
        <x:v>DS</x:v>
      </x:c>
      <x:c r="E9" s="21" t="str">
        <x:v>HS</x:v>
      </x:c>
      <x:c r="F9" s="25" t="str">
        <x:f>IF(AND(ISNUMBER(F7),G7&gt;0),TRUNC(F7/G7,3),"")</x:f>
      </x:c>
      <x:c r="G9" s="24"/>
      <x:c r="H9" s="25" t="str">
        <x:f>IF(AND(ISNUMBER(H7),I7&gt;0),TRUNC(H7/I7,3),"")</x:f>
      </x:c>
      <x:c r="I9" s="24"/>
      <x:c r="J9" s="2"/>
      <x:c r="K9" s="2"/>
      <x:c r="L9" s="2"/>
      <x:c r="M9" s="2"/>
      <x:c r="N9" s="28"/>
      <x:c r="O9" s="28"/>
      <x:c r="P9" s="28"/>
      <x:c r="Q9" s="31"/>
      <x:c r="R9" s="31"/>
      <x:c r="S9" s="28"/>
      <x:c r="T9" s="28"/>
    </x:row>
    <x:row r="10" ht="24" customHeight="1">
      <x:c r="A10" s="33" t="str">
        <x:f>IF(Teilnehmer!B6="","",Teilnehmer!B6)</x:f>
      </x:c>
      <x:c r="B10" s="22"/>
      <x:c r="C10" s="23" t="str">
        <x:f>IF(ISNUMBER(G4),G4,"")</x:f>
      </x:c>
      <x:c r="D10" s="22"/>
      <x:c r="E10" s="23" t="str">
        <x:f>IF(ISNUMBER(G7),G7,"")</x:f>
      </x:c>
      <x:c r="F10" s="16" t="str">
        <x:v>Bälle</x:v>
      </x:c>
      <x:c r="G10" s="17" t="str">
        <x:v>Aufn.</x:v>
      </x:c>
      <x:c r="H10" s="22"/>
      <x:c r="I10" s="23"/>
      <x:c r="J10" s="2"/>
      <x:c r="K10" s="2"/>
      <x:c r="L10" s="2"/>
      <x:c r="M10" s="2"/>
      <x:c r="N10" s="26" t="str">
        <x:f>IF(COUNT(B11,D11,H11)=0,"",SUM(B11,D11,H11))</x:f>
      </x:c>
      <x:c r="O10" s="26" t="str">
        <x:f>IF(COUNT(B10,D10,H10)=0,"",SUM(B10,D10,H10))</x:f>
      </x:c>
      <x:c r="P10" s="26" t="str">
        <x:f>IF(COUNT(C10,E10,I10)=0,"",SUM(C10,E10,I10))</x:f>
      </x:c>
      <x:c r="Q10" s="29" t="str">
        <x:f>IF(COUNT(B11,D11,H11)=0,"",MAX(IF(B11=2,B12,0),IF(D11=2,D12,0),IF(H11=2,H12,0)))</x:f>
      </x:c>
      <x:c r="R10" s="29" t="str">
        <x:f>IF(P10&gt;0,TRUNC(O10/P10,3),"")</x:f>
      </x:c>
      <x:c r="S10" s="26" t="str">
        <x:f>IF(COUNT(C12,E12,I12)=0,"",MAX(C12,E12,I12))</x:f>
      </x:c>
      <x:c r="T10" s="26" t="str">
        <x:f>IF(Teilnehmer!O6&lt;&gt;"",Teilnehmer!O6,IF(COUNT(D5,F5,H5,F8,H8,H11)&lt;6,"",1+IF(AND(ISNUMBER(N4),N4&gt;N10),1,0)+IF(AND(ISNUMBER(N4),N4=N10,ISNUMBER(R4),R4&gt;R10),1,0)+IF(AND(ISNUMBER(N7),N7&gt;N10),1,0)+IF(AND(ISNUMBER(N7),N7=N10,ISNUMBER(R7),R7&gt;R10),1,0)+IF(AND(ISNUMBER(N10),N10&gt;N10),1,0)+IF(AND(ISNUMBER(N10),N10=N10,ISNUMBER(R10),R10&gt;R10),1,0)+IF(AND(ISNUMBER(N13),N13&gt;N10),1,0)+IF(AND(ISNUMBER(N13),N13=N10,ISNUMBER(R13),R13&gt;R10),1,0)))</x:f>
      </x:c>
    </x:row>
    <x:row r="11" ht="24" customHeight="1">
      <x:c r="A11" s="33"/>
      <x:c r="B11" s="12" t="str">
        <x:f>IF(AND(ISNUMBER(B10),ISNUMBER(F4)),IF(IF(AND(Teilnehmer!F6&gt;0,Teilnehmer!F2&gt;0),B10/Teilnehmer!F6,B10)&gt;IF(AND(Teilnehmer!F6&gt;0,Teilnehmer!F2&gt;0),F4/Teilnehmer!F2,F4),2,IF(IF(AND(Teilnehmer!F6&gt;0,Teilnehmer!F2&gt;0),B10/Teilnehmer!F6,B10)=IF(AND(Teilnehmer!F6&gt;0,Teilnehmer!F2&gt;0),F4/Teilnehmer!F2,F4),1,0)),"")</x:f>
      </x:c>
      <x:c r="C11" s="13"/>
      <x:c r="D11" s="12" t="str">
        <x:f>IF(AND(ISNUMBER(D10),ISNUMBER(F7)),IF(IF(AND(Teilnehmer!F6&gt;0,Teilnehmer!F5&gt;0),D10/Teilnehmer!F6,D10)&gt;IF(AND(Teilnehmer!F6&gt;0,Teilnehmer!F5&gt;0),F7/Teilnehmer!F5,F7),2,IF(IF(AND(Teilnehmer!F6&gt;0,Teilnehmer!F5&gt;0),D10/Teilnehmer!F6,D10)=IF(AND(Teilnehmer!F6&gt;0,Teilnehmer!F5&gt;0),F7/Teilnehmer!F5,F7),1,0)),"")</x:f>
      </x:c>
      <x:c r="E11" s="13"/>
      <x:c r="F11" s="18" t="str">
        <x:v>Partiepunkte</x:v>
      </x:c>
      <x:c r="G11" s="19"/>
      <x:c r="H11" s="12" t="str">
        <x:f>IF(AND(ISNUMBER(H10),ISNUMBER(F13)),IF(IF(AND(Teilnehmer!F6&gt;0,Teilnehmer!F9&gt;0),H10/Teilnehmer!F6,H10)&gt;IF(AND(Teilnehmer!F6&gt;0,Teilnehmer!F9&gt;0),F13/Teilnehmer!F9,F13),2,IF(IF(AND(Teilnehmer!F6&gt;0,Teilnehmer!F9&gt;0),H10/Teilnehmer!F6,H10)=IF(AND(Teilnehmer!F6&gt;0,Teilnehmer!F9&gt;0),F13/Teilnehmer!F9,F13),1,0)),"")</x:f>
      </x:c>
      <x:c r="I11" s="13"/>
      <x:c r="J11" s="2"/>
      <x:c r="K11" s="2"/>
      <x:c r="L11" s="2"/>
      <x:c r="M11" s="2"/>
      <x:c r="N11" s="27"/>
      <x:c r="O11" s="27"/>
      <x:c r="P11" s="27"/>
      <x:c r="Q11" s="30"/>
      <x:c r="R11" s="30"/>
      <x:c r="S11" s="27"/>
      <x:c r="T11" s="27"/>
    </x:row>
    <x:row r="12" ht="24" customHeight="1">
      <x:c r="A12" s="33"/>
      <x:c r="B12" s="25" t="str">
        <x:f>IF(AND(ISNUMBER(B10),C10&gt;0),TRUNC(B10/C10,3),"")</x:f>
      </x:c>
      <x:c r="C12" s="24"/>
      <x:c r="D12" s="25" t="str">
        <x:f>IF(AND(ISNUMBER(D10),E10&gt;0),TRUNC(D10/E10,3),"")</x:f>
      </x:c>
      <x:c r="E12" s="24"/>
      <x:c r="F12" s="20" t="str">
        <x:v>DS</x:v>
      </x:c>
      <x:c r="G12" s="21" t="str">
        <x:v>HS</x:v>
      </x:c>
      <x:c r="H12" s="25" t="str">
        <x:f>IF(AND(ISNUMBER(H10),I10&gt;0),TRUNC(H10/I10,3),"")</x:f>
      </x:c>
      <x:c r="I12" s="24"/>
      <x:c r="J12" s="2"/>
      <x:c r="K12" s="2"/>
      <x:c r="L12" s="2"/>
      <x:c r="M12" s="2"/>
      <x:c r="N12" s="28"/>
      <x:c r="O12" s="28"/>
      <x:c r="P12" s="28"/>
      <x:c r="Q12" s="31"/>
      <x:c r="R12" s="31"/>
      <x:c r="S12" s="28"/>
      <x:c r="T12" s="28"/>
    </x:row>
    <x:row r="13" ht="24" customHeight="1">
      <x:c r="A13" s="33" t="str">
        <x:f>IF(Teilnehmer!B9="","",Teilnehmer!B9)</x:f>
      </x:c>
      <x:c r="B13" s="22"/>
      <x:c r="C13" s="23" t="str">
        <x:f>IF(ISNUMBER(I4),I4,"")</x:f>
      </x:c>
      <x:c r="D13" s="22"/>
      <x:c r="E13" s="23" t="str">
        <x:f>IF(ISNUMBER(I7),I7,"")</x:f>
      </x:c>
      <x:c r="F13" s="22"/>
      <x:c r="G13" s="23" t="str">
        <x:f>IF(ISNUMBER(I10),I10,"")</x:f>
      </x:c>
      <x:c r="H13" s="16" t="str">
        <x:v>Bälle</x:v>
      </x:c>
      <x:c r="I13" s="17" t="str">
        <x:v>Aufn.</x:v>
      </x:c>
      <x:c r="J13" s="2"/>
      <x:c r="K13" s="2"/>
      <x:c r="L13" s="2"/>
      <x:c r="M13" s="2"/>
      <x:c r="N13" s="26" t="str">
        <x:f>IF(COUNT(B14,D14,F14)=0,"",SUM(B14,D14,F14))</x:f>
      </x:c>
      <x:c r="O13" s="26" t="str">
        <x:f>IF(COUNT(B13,D13,F13)=0,"",SUM(B13,D13,F13))</x:f>
      </x:c>
      <x:c r="P13" s="26" t="str">
        <x:f>IF(COUNT(C13,E13,G13)=0,"",SUM(C13,E13,G13))</x:f>
      </x:c>
      <x:c r="Q13" s="29" t="str">
        <x:f>IF(COUNT(B14,D14,F14)=0,"",MAX(IF(B14=2,B15,0),IF(D14=2,D15,0),IF(F14=2,F15,0)))</x:f>
      </x:c>
      <x:c r="R13" s="29" t="str">
        <x:f>IF(P13&gt;0,TRUNC(O13/P13,3),"")</x:f>
      </x:c>
      <x:c r="S13" s="26" t="str">
        <x:f>IF(COUNT(C15,E15,G15)=0,"",MAX(C15,E15,G15))</x:f>
      </x:c>
      <x:c r="T13" s="26" t="str">
        <x:f>IF(Teilnehmer!O9&lt;&gt;"",Teilnehmer!O9,IF(COUNT(D5,F5,H5,F8,H8,H11)&lt;6,"",1+IF(AND(ISNUMBER(N4),N4&gt;N13),1,0)+IF(AND(ISNUMBER(N4),N4=N13,ISNUMBER(R4),R4&gt;R13),1,0)+IF(AND(ISNUMBER(N7),N7&gt;N13),1,0)+IF(AND(ISNUMBER(N7),N7=N13,ISNUMBER(R7),R7&gt;R13),1,0)+IF(AND(ISNUMBER(N10),N10&gt;N13),1,0)+IF(AND(ISNUMBER(N10),N10=N13,ISNUMBER(R10),R10&gt;R13),1,0)+IF(AND(ISNUMBER(N13),N13&gt;N13),1,0)+IF(AND(ISNUMBER(N13),N13=N13,ISNUMBER(R13),R13&gt;R13),1,0)))</x:f>
      </x:c>
    </x:row>
    <x:row r="14" ht="24" customHeight="1">
      <x:c r="A14" s="33"/>
      <x:c r="B14" s="12" t="str">
        <x:f>IF(AND(ISNUMBER(B13),ISNUMBER(H4)),IF(IF(AND(Teilnehmer!F9&gt;0,Teilnehmer!F2&gt;0),B13/Teilnehmer!F9,B13)&gt;IF(AND(Teilnehmer!F9&gt;0,Teilnehmer!F2&gt;0),H4/Teilnehmer!F2,H4),2,IF(IF(AND(Teilnehmer!F9&gt;0,Teilnehmer!F2&gt;0),B13/Teilnehmer!F9,B13)=IF(AND(Teilnehmer!F9&gt;0,Teilnehmer!F2&gt;0),H4/Teilnehmer!F2,H4),1,0)),"")</x:f>
      </x:c>
      <x:c r="C14" s="13"/>
      <x:c r="D14" s="12" t="str">
        <x:f>IF(AND(ISNUMBER(D13),ISNUMBER(H7)),IF(IF(AND(Teilnehmer!F9&gt;0,Teilnehmer!F5&gt;0),D13/Teilnehmer!F9,D13)&gt;IF(AND(Teilnehmer!F9&gt;0,Teilnehmer!F5&gt;0),H7/Teilnehmer!F5,H7),2,IF(IF(AND(Teilnehmer!F9&gt;0,Teilnehmer!F5&gt;0),D13/Teilnehmer!F9,D13)=IF(AND(Teilnehmer!F9&gt;0,Teilnehmer!F5&gt;0),H7/Teilnehmer!F5,H7),1,0)),"")</x:f>
      </x:c>
      <x:c r="E14" s="13"/>
      <x:c r="F14" s="12" t="str">
        <x:f>IF(AND(ISNUMBER(F13),ISNUMBER(H10)),IF(IF(AND(Teilnehmer!F9&gt;0,Teilnehmer!F6&gt;0),F13/Teilnehmer!F9,F13)&gt;IF(AND(Teilnehmer!F9&gt;0,Teilnehmer!F6&gt;0),H10/Teilnehmer!F6,H10),2,IF(IF(AND(Teilnehmer!F9&gt;0,Teilnehmer!F6&gt;0),F13/Teilnehmer!F9,F13)=IF(AND(Teilnehmer!F9&gt;0,Teilnehmer!F6&gt;0),H10/Teilnehmer!F6,H10),1,0)),"")</x:f>
      </x:c>
      <x:c r="G14" s="13"/>
      <x:c r="H14" s="18" t="str">
        <x:v>Partiepunkte</x:v>
      </x:c>
      <x:c r="I14" s="19"/>
      <x:c r="J14" s="2"/>
      <x:c r="K14" s="2"/>
      <x:c r="L14" s="2"/>
      <x:c r="M14" s="2"/>
      <x:c r="N14" s="27"/>
      <x:c r="O14" s="27"/>
      <x:c r="P14" s="27"/>
      <x:c r="Q14" s="30"/>
      <x:c r="R14" s="30"/>
      <x:c r="S14" s="27"/>
      <x:c r="T14" s="27"/>
    </x:row>
    <x:row r="15" ht="24" customHeight="1">
      <x:c r="A15" s="34"/>
      <x:c r="B15" s="25" t="str">
        <x:f>IF(AND(ISNUMBER(B13),C13&gt;0),TRUNC(B13/C13,3),"")</x:f>
      </x:c>
      <x:c r="C15" s="24"/>
      <x:c r="D15" s="25" t="str">
        <x:f>IF(AND(ISNUMBER(D13),E13&gt;0),TRUNC(D13/E13,3),"")</x:f>
      </x:c>
      <x:c r="E15" s="24"/>
      <x:c r="F15" s="25" t="str">
        <x:f>IF(AND(ISNUMBER(F13),G13&gt;0),TRUNC(F13/G13,3),"")</x:f>
      </x:c>
      <x:c r="G15" s="24"/>
      <x:c r="H15" s="20" t="str">
        <x:v>DS</x:v>
      </x:c>
      <x:c r="I15" s="21" t="str">
        <x:v>HS</x:v>
      </x:c>
      <x:c r="J15" s="2"/>
      <x:c r="K15" s="2"/>
      <x:c r="L15" s="2"/>
      <x:c r="M15" s="2"/>
      <x:c r="N15" s="28"/>
      <x:c r="O15" s="28"/>
      <x:c r="P15" s="28"/>
      <x:c r="Q15" s="31"/>
      <x:c r="R15" s="31"/>
      <x:c r="S15" s="28"/>
      <x:c r="T15" s="28"/>
    </x:row>
    <x:row r="16" ht="24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</x:row>
    <x:row r="17" ht="30" customHeight="1">
      <x:c r="A17" s="2" t="str">
        <x:v>Grün: Bälle, Aufnahmen, HS. Bei Vorgabe zählt der erreichte Anteil. Rangkorrektur bei Gleichstand: Teilnehmer, Spalte O.</x:v>
      </x:c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</x:row>
    <x:row r="18" ht="24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</x:row>
    <x:row r="19" ht="24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</x:row>
    <x:row r="20" ht="24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</x:row>
    <x:row r="21" ht="24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</x:row>
    <x:row r="22" ht="24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</x:row>
    <x:row r="23" ht="24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</x:row>
    <x:row r="24" ht="24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</x:row>
    <x:row r="25" ht="24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</x:row>
    <x:row r="26" ht="24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</x:row>
    <x:row r="27" ht="24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</x:row>
    <x:row r="28" ht="24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</x:row>
    <x:row r="29" ht="24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</x:row>
    <x:row r="35" ht="24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</x:row>
    <x:row r="39" ht="24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</x:row>
    <x:row r="41" ht="24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</x:row>
  </x:sheetData>
  <x:mergeCells>
    <x:mergeCell ref="D1:P1"/>
    <x:mergeCell ref="S1:T1"/>
    <x:mergeCell ref="S2:T2"/>
    <x:mergeCell ref="B3:C3"/>
    <x:mergeCell ref="A4:A6"/>
    <x:mergeCell ref="B5:C5"/>
    <x:mergeCell ref="D5:E5"/>
    <x:mergeCell ref="F5:G5"/>
    <x:mergeCell ref="H5:I5"/>
    <x:mergeCell ref="N4:N6"/>
    <x:mergeCell ref="O4:O6"/>
    <x:mergeCell ref="P4:P6"/>
    <x:mergeCell ref="Q4:Q6"/>
    <x:mergeCell ref="R4:R6"/>
    <x:mergeCell ref="S4:S6"/>
    <x:mergeCell ref="T4:T6"/>
    <x:mergeCell ref="D3:E3"/>
    <x:mergeCell ref="A7:A9"/>
    <x:mergeCell ref="B8:C8"/>
    <x:mergeCell ref="D8:E8"/>
    <x:mergeCell ref="F8:G8"/>
    <x:mergeCell ref="H8:I8"/>
    <x:mergeCell ref="N7:N9"/>
    <x:mergeCell ref="O7:O9"/>
    <x:mergeCell ref="P7:P9"/>
    <x:mergeCell ref="Q7:Q9"/>
    <x:mergeCell ref="R7:R9"/>
    <x:mergeCell ref="S7:S9"/>
    <x:mergeCell ref="T7:T9"/>
    <x:mergeCell ref="F3:G3"/>
    <x:mergeCell ref="A10:A12"/>
    <x:mergeCell ref="B11:C11"/>
    <x:mergeCell ref="D11:E11"/>
    <x:mergeCell ref="F11:G11"/>
    <x:mergeCell ref="H11:I11"/>
    <x:mergeCell ref="N10:N12"/>
    <x:mergeCell ref="O10:O12"/>
    <x:mergeCell ref="P10:P12"/>
    <x:mergeCell ref="Q10:Q12"/>
    <x:mergeCell ref="R10:R12"/>
    <x:mergeCell ref="S10:S12"/>
    <x:mergeCell ref="T10:T12"/>
    <x:mergeCell ref="H3:I3"/>
    <x:mergeCell ref="A13:A15"/>
    <x:mergeCell ref="B14:C14"/>
    <x:mergeCell ref="D14:E14"/>
    <x:mergeCell ref="F14:G14"/>
    <x:mergeCell ref="H14:I14"/>
    <x:mergeCell ref="N13:N15"/>
    <x:mergeCell ref="O13:O15"/>
    <x:mergeCell ref="P13:P15"/>
    <x:mergeCell ref="Q13:Q15"/>
    <x:mergeCell ref="R13:R15"/>
    <x:mergeCell ref="S13:S15"/>
    <x:mergeCell ref="T13:T15"/>
    <x:mergeCell ref="A17:T17"/>
  </x:mergeCells>
  <x:pageMargins left="0.2" right="0.2" top="0.3" bottom="0.3" header="0.1" footer="0.1"/>
  <x:pageSetup paperSize="9" orientation="landscape" fitToWidth="1" fitToHeight="1"/>
</x:worksheet>
</file>

<file path=xl/worksheets/sheet2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3" hidden="0" customWidth="1"/>
    <x:col min="13" max="13" width="3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</x:cols>
  <x:sheetData>
    <x:row r="1" ht="36" customHeight="1">
      <x:c r="A1" s="7" t="str">
        <x:v>2=gewonnen  1=unentschieden</x:v>
      </x:c>
      <x:c r="B1" s="2"/>
      <x:c r="C1" s="2"/>
      <x:c r="D1" s="5" t="str">
        <x:v>T16a – Gruppe B</x:v>
      </x:c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2"/>
      <x:c r="R1" s="2" t="str">
        <x:v>Ausrichter:</x:v>
      </x:c>
      <x:c r="S1" s="2" t="str"/>
      <x:c r="T1" s="2"/>
    </x:row>
    <x:row r="2" ht="24" customHeight="1">
      <x:c r="A2" s="7" t="str">
        <x:v>0=verloren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 t="str">
        <x:v>Datum:</x:v>
      </x:c>
      <x:c r="S2" s="6"/>
      <x:c r="T2" s="2"/>
    </x:row>
    <x:row r="3" ht="48" customHeight="1">
      <x:c r="A3" s="35" t="str">
        <x:v>Name</x:v>
      </x:c>
      <x:c r="B3" s="36" t="str">
        <x:f>IF(Teilnehmer!B3="","",Teilnehmer!B3)</x:f>
      </x:c>
      <x:c r="C3" s="36"/>
      <x:c r="D3" s="36" t="str">
        <x:f>IF(Teilnehmer!B4="","",Teilnehmer!B4)</x:f>
      </x:c>
      <x:c r="E3" s="36"/>
      <x:c r="F3" s="36" t="str">
        <x:f>IF(Teilnehmer!B7="","",Teilnehmer!B7)</x:f>
      </x:c>
      <x:c r="G3" s="36"/>
      <x:c r="H3" s="36" t="str">
        <x:f>IF(Teilnehmer!B8="","",Teilnehmer!B8)</x:f>
      </x:c>
      <x:c r="I3" s="36"/>
      <x:c r="J3" s="36" t="str">
        <x:f>IF(Teilnehmer!B10="","",Teilnehmer!B10)</x:f>
      </x:c>
      <x:c r="K3" s="36"/>
      <x:c r="L3" s="8"/>
      <x:c r="M3" s="8"/>
      <x:c r="N3" s="35" t="str">
        <x:v>Partie-punkte</x:v>
      </x:c>
      <x:c r="O3" s="35" t="str">
        <x:v>Bälle</x:v>
      </x:c>
      <x:c r="P3" s="35" t="str">
        <x:v>Aufnahmen</x:v>
      </x:c>
      <x:c r="Q3" s="35" t="str">
        <x:v>BED</x:v>
      </x:c>
      <x:c r="R3" s="35" t="str">
        <x:v>DS</x:v>
      </x:c>
      <x:c r="S3" s="35" t="str">
        <x:v>HS</x:v>
      </x:c>
      <x:c r="T3" s="35" t="str">
        <x:v>Platz</x:v>
      </x:c>
    </x:row>
    <x:row r="4" ht="24" customHeight="1">
      <x:c r="A4" s="33" t="str">
        <x:f>IF(Teilnehmer!B3="","",Teilnehmer!B3)</x:f>
      </x:c>
      <x:c r="B4" s="16" t="str">
        <x:v>Bälle</x:v>
      </x:c>
      <x:c r="C4" s="17" t="str">
        <x:v>Aufn.</x:v>
      </x:c>
      <x:c r="D4" s="22"/>
      <x:c r="E4" s="23"/>
      <x:c r="F4" s="22"/>
      <x:c r="G4" s="23"/>
      <x:c r="H4" s="22"/>
      <x:c r="I4" s="23"/>
      <x:c r="J4" s="22"/>
      <x:c r="K4" s="23"/>
      <x:c r="L4" s="2"/>
      <x:c r="M4" s="2"/>
      <x:c r="N4" s="26" t="str">
        <x:f>IF(COUNT(D5,F5,H5,J5)=0,"",SUM(D5,F5,H5,J5))</x:f>
      </x:c>
      <x:c r="O4" s="26" t="str">
        <x:f>IF(COUNT(D4,F4,H4,J4)=0,"",SUM(D4,F4,H4,J4))</x:f>
      </x:c>
      <x:c r="P4" s="26" t="str">
        <x:f>IF(COUNT(E4,G4,I4,K4)=0,"",SUM(E4,G4,I4,K4))</x:f>
      </x:c>
      <x:c r="Q4" s="29" t="str">
        <x:f>IF(COUNT(D5,F5,H5,J5)=0,"",MAX(IF(D5=2,D6,0),IF(F5=2,F6,0),IF(H5=2,H6,0),IF(J5=2,J6,0)))</x:f>
      </x:c>
      <x:c r="R4" s="29" t="str">
        <x:f>IF(P4&gt;0,TRUNC(O4/P4,3),"")</x:f>
      </x:c>
      <x:c r="S4" s="26" t="str">
        <x:f>IF(COUNT(E6,G6,I6,K6)=0,"",MAX(E6,G6,I6,K6))</x:f>
      </x:c>
      <x:c r="T4" s="26" t="str">
        <x:f>IF(Teilnehmer!O3&lt;&gt;"",Teilnehmer!O3,IF(COUNT(D5,F5,H5,J5,F8,H8,J8,H11,J11,J14)&lt;10,"",1+IF(AND(ISNUMBER(N4),N4&gt;N4),1,0)+IF(AND(ISNUMBER(N4),N4=N4,ISNUMBER(R4),R4&gt;R4),1,0)+IF(AND(ISNUMBER(N7),N7&gt;N4),1,0)+IF(AND(ISNUMBER(N7),N7=N4,ISNUMBER(R7),R7&gt;R4),1,0)+IF(AND(ISNUMBER(N10),N10&gt;N4),1,0)+IF(AND(ISNUMBER(N10),N10=N4,ISNUMBER(R10),R10&gt;R4),1,0)+IF(AND(ISNUMBER(N13),N13&gt;N4),1,0)+IF(AND(ISNUMBER(N13),N13=N4,ISNUMBER(R13),R13&gt;R4),1,0)+IF(AND(ISNUMBER(N16),N16&gt;N4),1,0)+IF(AND(ISNUMBER(N16),N16=N4,ISNUMBER(R16),R16&gt;R4),1,0)))</x:f>
      </x:c>
    </x:row>
    <x:row r="5" ht="24" customHeight="1">
      <x:c r="A5" s="33"/>
      <x:c r="B5" s="18" t="str">
        <x:v>Partiepunkte</x:v>
      </x:c>
      <x:c r="C5" s="19"/>
      <x:c r="D5" s="12" t="str">
        <x:f>IF(AND(ISNUMBER(D4),ISNUMBER(B7)),IF(IF(AND(Teilnehmer!F3&gt;0,Teilnehmer!F4&gt;0),D4/Teilnehmer!F3,D4)&gt;IF(AND(Teilnehmer!F3&gt;0,Teilnehmer!F4&gt;0),B7/Teilnehmer!F4,B7),2,IF(IF(AND(Teilnehmer!F3&gt;0,Teilnehmer!F4&gt;0),D4/Teilnehmer!F3,D4)=IF(AND(Teilnehmer!F3&gt;0,Teilnehmer!F4&gt;0),B7/Teilnehmer!F4,B7),1,0)),"")</x:f>
      </x:c>
      <x:c r="E5" s="13"/>
      <x:c r="F5" s="12" t="str">
        <x:f>IF(AND(ISNUMBER(F4),ISNUMBER(B10)),IF(IF(AND(Teilnehmer!F3&gt;0,Teilnehmer!F7&gt;0),F4/Teilnehmer!F3,F4)&gt;IF(AND(Teilnehmer!F3&gt;0,Teilnehmer!F7&gt;0),B10/Teilnehmer!F7,B10),2,IF(IF(AND(Teilnehmer!F3&gt;0,Teilnehmer!F7&gt;0),F4/Teilnehmer!F3,F4)=IF(AND(Teilnehmer!F3&gt;0,Teilnehmer!F7&gt;0),B10/Teilnehmer!F7,B10),1,0)),"")</x:f>
      </x:c>
      <x:c r="G5" s="13"/>
      <x:c r="H5" s="12" t="str">
        <x:f>IF(AND(ISNUMBER(H4),ISNUMBER(B13)),IF(IF(AND(Teilnehmer!F3&gt;0,Teilnehmer!F8&gt;0),H4/Teilnehmer!F3,H4)&gt;IF(AND(Teilnehmer!F3&gt;0,Teilnehmer!F8&gt;0),B13/Teilnehmer!F8,B13),2,IF(IF(AND(Teilnehmer!F3&gt;0,Teilnehmer!F8&gt;0),H4/Teilnehmer!F3,H4)=IF(AND(Teilnehmer!F3&gt;0,Teilnehmer!F8&gt;0),B13/Teilnehmer!F8,B13),1,0)),"")</x:f>
      </x:c>
      <x:c r="I5" s="13"/>
      <x:c r="J5" s="12" t="str">
        <x:f>IF(AND(ISNUMBER(J4),ISNUMBER(B16)),IF(IF(AND(Teilnehmer!F3&gt;0,Teilnehmer!F10&gt;0),J4/Teilnehmer!F3,J4)&gt;IF(AND(Teilnehmer!F3&gt;0,Teilnehmer!F10&gt;0),B16/Teilnehmer!F10,B16),2,IF(IF(AND(Teilnehmer!F3&gt;0,Teilnehmer!F10&gt;0),J4/Teilnehmer!F3,J4)=IF(AND(Teilnehmer!F3&gt;0,Teilnehmer!F10&gt;0),B16/Teilnehmer!F10,B16),1,0)),"")</x:f>
      </x:c>
      <x:c r="K5" s="13"/>
      <x:c r="L5" s="2"/>
      <x:c r="M5" s="2"/>
      <x:c r="N5" s="27"/>
      <x:c r="O5" s="27"/>
      <x:c r="P5" s="27"/>
      <x:c r="Q5" s="30"/>
      <x:c r="R5" s="30"/>
      <x:c r="S5" s="27"/>
      <x:c r="T5" s="27"/>
    </x:row>
    <x:row r="6" ht="24" customHeight="1">
      <x:c r="A6" s="33"/>
      <x:c r="B6" s="20" t="str">
        <x:v>DS</x:v>
      </x:c>
      <x:c r="C6" s="21" t="str">
        <x:v>HS</x:v>
      </x:c>
      <x:c r="D6" s="25" t="str">
        <x:f>IF(AND(ISNUMBER(D4),E4&gt;0),TRUNC(D4/E4,3),"")</x:f>
      </x:c>
      <x:c r="E6" s="24"/>
      <x:c r="F6" s="25" t="str">
        <x:f>IF(AND(ISNUMBER(F4),G4&gt;0),TRUNC(F4/G4,3),"")</x:f>
      </x:c>
      <x:c r="G6" s="24"/>
      <x:c r="H6" s="25" t="str">
        <x:f>IF(AND(ISNUMBER(H4),I4&gt;0),TRUNC(H4/I4,3),"")</x:f>
      </x:c>
      <x:c r="I6" s="24"/>
      <x:c r="J6" s="25" t="str">
        <x:f>IF(AND(ISNUMBER(J4),K4&gt;0),TRUNC(J4/K4,3),"")</x:f>
      </x:c>
      <x:c r="K6" s="24"/>
      <x:c r="L6" s="2"/>
      <x:c r="M6" s="2"/>
      <x:c r="N6" s="28"/>
      <x:c r="O6" s="28"/>
      <x:c r="P6" s="28"/>
      <x:c r="Q6" s="31"/>
      <x:c r="R6" s="31"/>
      <x:c r="S6" s="28"/>
      <x:c r="T6" s="28"/>
    </x:row>
    <x:row r="7" ht="24" customHeight="1">
      <x:c r="A7" s="33" t="str">
        <x:f>IF(Teilnehmer!B4="","",Teilnehmer!B4)</x:f>
      </x:c>
      <x:c r="B7" s="22"/>
      <x:c r="C7" s="23" t="str">
        <x:f>IF(ISNUMBER(E4),E4,"")</x:f>
      </x:c>
      <x:c r="D7" s="16" t="str">
        <x:v>Bälle</x:v>
      </x:c>
      <x:c r="E7" s="17" t="str">
        <x:v>Aufn.</x:v>
      </x:c>
      <x:c r="F7" s="22"/>
      <x:c r="G7" s="23"/>
      <x:c r="H7" s="22"/>
      <x:c r="I7" s="23"/>
      <x:c r="J7" s="22"/>
      <x:c r="K7" s="23"/>
      <x:c r="L7" s="2"/>
      <x:c r="M7" s="2"/>
      <x:c r="N7" s="26" t="str">
        <x:f>IF(COUNT(B8,F8,H8,J8)=0,"",SUM(B8,F8,H8,J8))</x:f>
      </x:c>
      <x:c r="O7" s="26" t="str">
        <x:f>IF(COUNT(B7,F7,H7,J7)=0,"",SUM(B7,F7,H7,J7))</x:f>
      </x:c>
      <x:c r="P7" s="26" t="str">
        <x:f>IF(COUNT(C7,G7,I7,K7)=0,"",SUM(C7,G7,I7,K7))</x:f>
      </x:c>
      <x:c r="Q7" s="29" t="str">
        <x:f>IF(COUNT(B8,F8,H8,J8)=0,"",MAX(IF(B8=2,B9,0),IF(F8=2,F9,0),IF(H8=2,H9,0),IF(J8=2,J9,0)))</x:f>
      </x:c>
      <x:c r="R7" s="29" t="str">
        <x:f>IF(P7&gt;0,TRUNC(O7/P7,3),"")</x:f>
      </x:c>
      <x:c r="S7" s="26" t="str">
        <x:f>IF(COUNT(C9,G9,I9,K9)=0,"",MAX(C9,G9,I9,K9))</x:f>
      </x:c>
      <x:c r="T7" s="26" t="str">
        <x:f>IF(Teilnehmer!O4&lt;&gt;"",Teilnehmer!O4,IF(COUNT(D5,F5,H5,J5,F8,H8,J8,H11,J11,J14)&lt;10,"",1+IF(AND(ISNUMBER(N4),N4&gt;N7),1,0)+IF(AND(ISNUMBER(N4),N4=N7,ISNUMBER(R4),R4&gt;R7),1,0)+IF(AND(ISNUMBER(N7),N7&gt;N7),1,0)+IF(AND(ISNUMBER(N7),N7=N7,ISNUMBER(R7),R7&gt;R7),1,0)+IF(AND(ISNUMBER(N10),N10&gt;N7),1,0)+IF(AND(ISNUMBER(N10),N10=N7,ISNUMBER(R10),R10&gt;R7),1,0)+IF(AND(ISNUMBER(N13),N13&gt;N7),1,0)+IF(AND(ISNUMBER(N13),N13=N7,ISNUMBER(R13),R13&gt;R7),1,0)+IF(AND(ISNUMBER(N16),N16&gt;N7),1,0)+IF(AND(ISNUMBER(N16),N16=N7,ISNUMBER(R16),R16&gt;R7),1,0)))</x:f>
      </x:c>
    </x:row>
    <x:row r="8" ht="24" customHeight="1">
      <x:c r="A8" s="33"/>
      <x:c r="B8" s="12" t="str">
        <x:f>IF(AND(ISNUMBER(B7),ISNUMBER(D4)),IF(IF(AND(Teilnehmer!F4&gt;0,Teilnehmer!F3&gt;0),B7/Teilnehmer!F4,B7)&gt;IF(AND(Teilnehmer!F4&gt;0,Teilnehmer!F3&gt;0),D4/Teilnehmer!F3,D4),2,IF(IF(AND(Teilnehmer!F4&gt;0,Teilnehmer!F3&gt;0),B7/Teilnehmer!F4,B7)=IF(AND(Teilnehmer!F4&gt;0,Teilnehmer!F3&gt;0),D4/Teilnehmer!F3,D4),1,0)),"")</x:f>
      </x:c>
      <x:c r="C8" s="13"/>
      <x:c r="D8" s="18" t="str">
        <x:v>Partiepunkte</x:v>
      </x:c>
      <x:c r="E8" s="19"/>
      <x:c r="F8" s="12" t="str">
        <x:f>IF(AND(ISNUMBER(F7),ISNUMBER(D10)),IF(IF(AND(Teilnehmer!F4&gt;0,Teilnehmer!F7&gt;0),F7/Teilnehmer!F4,F7)&gt;IF(AND(Teilnehmer!F4&gt;0,Teilnehmer!F7&gt;0),D10/Teilnehmer!F7,D10),2,IF(IF(AND(Teilnehmer!F4&gt;0,Teilnehmer!F7&gt;0),F7/Teilnehmer!F4,F7)=IF(AND(Teilnehmer!F4&gt;0,Teilnehmer!F7&gt;0),D10/Teilnehmer!F7,D10),1,0)),"")</x:f>
      </x:c>
      <x:c r="G8" s="13"/>
      <x:c r="H8" s="12" t="str">
        <x:f>IF(AND(ISNUMBER(H7),ISNUMBER(D13)),IF(IF(AND(Teilnehmer!F4&gt;0,Teilnehmer!F8&gt;0),H7/Teilnehmer!F4,H7)&gt;IF(AND(Teilnehmer!F4&gt;0,Teilnehmer!F8&gt;0),D13/Teilnehmer!F8,D13),2,IF(IF(AND(Teilnehmer!F4&gt;0,Teilnehmer!F8&gt;0),H7/Teilnehmer!F4,H7)=IF(AND(Teilnehmer!F4&gt;0,Teilnehmer!F8&gt;0),D13/Teilnehmer!F8,D13),1,0)),"")</x:f>
      </x:c>
      <x:c r="I8" s="13"/>
      <x:c r="J8" s="12" t="str">
        <x:f>IF(AND(ISNUMBER(J7),ISNUMBER(D16)),IF(IF(AND(Teilnehmer!F4&gt;0,Teilnehmer!F10&gt;0),J7/Teilnehmer!F4,J7)&gt;IF(AND(Teilnehmer!F4&gt;0,Teilnehmer!F10&gt;0),D16/Teilnehmer!F10,D16),2,IF(IF(AND(Teilnehmer!F4&gt;0,Teilnehmer!F10&gt;0),J7/Teilnehmer!F4,J7)=IF(AND(Teilnehmer!F4&gt;0,Teilnehmer!F10&gt;0),D16/Teilnehmer!F10,D16),1,0)),"")</x:f>
      </x:c>
      <x:c r="K8" s="13"/>
      <x:c r="L8" s="2"/>
      <x:c r="M8" s="2"/>
      <x:c r="N8" s="27"/>
      <x:c r="O8" s="27"/>
      <x:c r="P8" s="27"/>
      <x:c r="Q8" s="30"/>
      <x:c r="R8" s="30"/>
      <x:c r="S8" s="27"/>
      <x:c r="T8" s="27"/>
    </x:row>
    <x:row r="9" ht="24" customHeight="1">
      <x:c r="A9" s="33"/>
      <x:c r="B9" s="25" t="str">
        <x:f>IF(AND(ISNUMBER(B7),C7&gt;0),TRUNC(B7/C7,3),"")</x:f>
      </x:c>
      <x:c r="C9" s="24"/>
      <x:c r="D9" s="20" t="str">
        <x:v>DS</x:v>
      </x:c>
      <x:c r="E9" s="21" t="str">
        <x:v>HS</x:v>
      </x:c>
      <x:c r="F9" s="25" t="str">
        <x:f>IF(AND(ISNUMBER(F7),G7&gt;0),TRUNC(F7/G7,3),"")</x:f>
      </x:c>
      <x:c r="G9" s="24"/>
      <x:c r="H9" s="25" t="str">
        <x:f>IF(AND(ISNUMBER(H7),I7&gt;0),TRUNC(H7/I7,3),"")</x:f>
      </x:c>
      <x:c r="I9" s="24"/>
      <x:c r="J9" s="25" t="str">
        <x:f>IF(AND(ISNUMBER(J7),K7&gt;0),TRUNC(J7/K7,3),"")</x:f>
      </x:c>
      <x:c r="K9" s="24"/>
      <x:c r="L9" s="2"/>
      <x:c r="M9" s="2"/>
      <x:c r="N9" s="28"/>
      <x:c r="O9" s="28"/>
      <x:c r="P9" s="28"/>
      <x:c r="Q9" s="31"/>
      <x:c r="R9" s="31"/>
      <x:c r="S9" s="28"/>
      <x:c r="T9" s="28"/>
    </x:row>
    <x:row r="10" ht="24" customHeight="1">
      <x:c r="A10" s="33" t="str">
        <x:f>IF(Teilnehmer!B7="","",Teilnehmer!B7)</x:f>
      </x:c>
      <x:c r="B10" s="22"/>
      <x:c r="C10" s="23" t="str">
        <x:f>IF(ISNUMBER(G4),G4,"")</x:f>
      </x:c>
      <x:c r="D10" s="22"/>
      <x:c r="E10" s="23" t="str">
        <x:f>IF(ISNUMBER(G7),G7,"")</x:f>
      </x:c>
      <x:c r="F10" s="16" t="str">
        <x:v>Bälle</x:v>
      </x:c>
      <x:c r="G10" s="17" t="str">
        <x:v>Aufn.</x:v>
      </x:c>
      <x:c r="H10" s="22"/>
      <x:c r="I10" s="23"/>
      <x:c r="J10" s="22"/>
      <x:c r="K10" s="23"/>
      <x:c r="L10" s="2"/>
      <x:c r="M10" s="2"/>
      <x:c r="N10" s="26" t="str">
        <x:f>IF(COUNT(B11,D11,H11,J11)=0,"",SUM(B11,D11,H11,J11))</x:f>
      </x:c>
      <x:c r="O10" s="26" t="str">
        <x:f>IF(COUNT(B10,D10,H10,J10)=0,"",SUM(B10,D10,H10,J10))</x:f>
      </x:c>
      <x:c r="P10" s="26" t="str">
        <x:f>IF(COUNT(C10,E10,I10,K10)=0,"",SUM(C10,E10,I10,K10))</x:f>
      </x:c>
      <x:c r="Q10" s="29" t="str">
        <x:f>IF(COUNT(B11,D11,H11,J11)=0,"",MAX(IF(B11=2,B12,0),IF(D11=2,D12,0),IF(H11=2,H12,0),IF(J11=2,J12,0)))</x:f>
      </x:c>
      <x:c r="R10" s="29" t="str">
        <x:f>IF(P10&gt;0,TRUNC(O10/P10,3),"")</x:f>
      </x:c>
      <x:c r="S10" s="26" t="str">
        <x:f>IF(COUNT(C12,E12,I12,K12)=0,"",MAX(C12,E12,I12,K12))</x:f>
      </x:c>
      <x:c r="T10" s="26" t="str">
        <x:f>IF(Teilnehmer!O7&lt;&gt;"",Teilnehmer!O7,IF(COUNT(D5,F5,H5,J5,F8,H8,J8,H11,J11,J14)&lt;10,"",1+IF(AND(ISNUMBER(N4),N4&gt;N10),1,0)+IF(AND(ISNUMBER(N4),N4=N10,ISNUMBER(R4),R4&gt;R10),1,0)+IF(AND(ISNUMBER(N7),N7&gt;N10),1,0)+IF(AND(ISNUMBER(N7),N7=N10,ISNUMBER(R7),R7&gt;R10),1,0)+IF(AND(ISNUMBER(N10),N10&gt;N10),1,0)+IF(AND(ISNUMBER(N10),N10=N10,ISNUMBER(R10),R10&gt;R10),1,0)+IF(AND(ISNUMBER(N13),N13&gt;N10),1,0)+IF(AND(ISNUMBER(N13),N13=N10,ISNUMBER(R13),R13&gt;R10),1,0)+IF(AND(ISNUMBER(N16),N16&gt;N10),1,0)+IF(AND(ISNUMBER(N16),N16=N10,ISNUMBER(R16),R16&gt;R10),1,0)))</x:f>
      </x:c>
    </x:row>
    <x:row r="11" ht="24" customHeight="1">
      <x:c r="A11" s="33"/>
      <x:c r="B11" s="12" t="str">
        <x:f>IF(AND(ISNUMBER(B10),ISNUMBER(F4)),IF(IF(AND(Teilnehmer!F7&gt;0,Teilnehmer!F3&gt;0),B10/Teilnehmer!F7,B10)&gt;IF(AND(Teilnehmer!F7&gt;0,Teilnehmer!F3&gt;0),F4/Teilnehmer!F3,F4),2,IF(IF(AND(Teilnehmer!F7&gt;0,Teilnehmer!F3&gt;0),B10/Teilnehmer!F7,B10)=IF(AND(Teilnehmer!F7&gt;0,Teilnehmer!F3&gt;0),F4/Teilnehmer!F3,F4),1,0)),"")</x:f>
      </x:c>
      <x:c r="C11" s="13"/>
      <x:c r="D11" s="12" t="str">
        <x:f>IF(AND(ISNUMBER(D10),ISNUMBER(F7)),IF(IF(AND(Teilnehmer!F7&gt;0,Teilnehmer!F4&gt;0),D10/Teilnehmer!F7,D10)&gt;IF(AND(Teilnehmer!F7&gt;0,Teilnehmer!F4&gt;0),F7/Teilnehmer!F4,F7),2,IF(IF(AND(Teilnehmer!F7&gt;0,Teilnehmer!F4&gt;0),D10/Teilnehmer!F7,D10)=IF(AND(Teilnehmer!F7&gt;0,Teilnehmer!F4&gt;0),F7/Teilnehmer!F4,F7),1,0)),"")</x:f>
      </x:c>
      <x:c r="E11" s="13"/>
      <x:c r="F11" s="18" t="str">
        <x:v>Partiepunkte</x:v>
      </x:c>
      <x:c r="G11" s="19"/>
      <x:c r="H11" s="12" t="str">
        <x:f>IF(AND(ISNUMBER(H10),ISNUMBER(F13)),IF(IF(AND(Teilnehmer!F7&gt;0,Teilnehmer!F8&gt;0),H10/Teilnehmer!F7,H10)&gt;IF(AND(Teilnehmer!F7&gt;0,Teilnehmer!F8&gt;0),F13/Teilnehmer!F8,F13),2,IF(IF(AND(Teilnehmer!F7&gt;0,Teilnehmer!F8&gt;0),H10/Teilnehmer!F7,H10)=IF(AND(Teilnehmer!F7&gt;0,Teilnehmer!F8&gt;0),F13/Teilnehmer!F8,F13),1,0)),"")</x:f>
      </x:c>
      <x:c r="I11" s="13"/>
      <x:c r="J11" s="12" t="str">
        <x:f>IF(AND(ISNUMBER(J10),ISNUMBER(F16)),IF(IF(AND(Teilnehmer!F7&gt;0,Teilnehmer!F10&gt;0),J10/Teilnehmer!F7,J10)&gt;IF(AND(Teilnehmer!F7&gt;0,Teilnehmer!F10&gt;0),F16/Teilnehmer!F10,F16),2,IF(IF(AND(Teilnehmer!F7&gt;0,Teilnehmer!F10&gt;0),J10/Teilnehmer!F7,J10)=IF(AND(Teilnehmer!F7&gt;0,Teilnehmer!F10&gt;0),F16/Teilnehmer!F10,F16),1,0)),"")</x:f>
      </x:c>
      <x:c r="K11" s="13"/>
      <x:c r="L11" s="2"/>
      <x:c r="M11" s="2"/>
      <x:c r="N11" s="27"/>
      <x:c r="O11" s="27"/>
      <x:c r="P11" s="27"/>
      <x:c r="Q11" s="30"/>
      <x:c r="R11" s="30"/>
      <x:c r="S11" s="27"/>
      <x:c r="T11" s="27"/>
    </x:row>
    <x:row r="12" ht="24" customHeight="1">
      <x:c r="A12" s="33"/>
      <x:c r="B12" s="25" t="str">
        <x:f>IF(AND(ISNUMBER(B10),C10&gt;0),TRUNC(B10/C10,3),"")</x:f>
      </x:c>
      <x:c r="C12" s="24"/>
      <x:c r="D12" s="25" t="str">
        <x:f>IF(AND(ISNUMBER(D10),E10&gt;0),TRUNC(D10/E10,3),"")</x:f>
      </x:c>
      <x:c r="E12" s="24"/>
      <x:c r="F12" s="20" t="str">
        <x:v>DS</x:v>
      </x:c>
      <x:c r="G12" s="21" t="str">
        <x:v>HS</x:v>
      </x:c>
      <x:c r="H12" s="25" t="str">
        <x:f>IF(AND(ISNUMBER(H10),I10&gt;0),TRUNC(H10/I10,3),"")</x:f>
      </x:c>
      <x:c r="I12" s="24"/>
      <x:c r="J12" s="25" t="str">
        <x:f>IF(AND(ISNUMBER(J10),K10&gt;0),TRUNC(J10/K10,3),"")</x:f>
      </x:c>
      <x:c r="K12" s="24"/>
      <x:c r="L12" s="2"/>
      <x:c r="M12" s="2"/>
      <x:c r="N12" s="28"/>
      <x:c r="O12" s="28"/>
      <x:c r="P12" s="28"/>
      <x:c r="Q12" s="31"/>
      <x:c r="R12" s="31"/>
      <x:c r="S12" s="28"/>
      <x:c r="T12" s="28"/>
    </x:row>
    <x:row r="13" ht="24" customHeight="1">
      <x:c r="A13" s="33" t="str">
        <x:f>IF(Teilnehmer!B8="","",Teilnehmer!B8)</x:f>
      </x:c>
      <x:c r="B13" s="22"/>
      <x:c r="C13" s="23" t="str">
        <x:f>IF(ISNUMBER(I4),I4,"")</x:f>
      </x:c>
      <x:c r="D13" s="22"/>
      <x:c r="E13" s="23" t="str">
        <x:f>IF(ISNUMBER(I7),I7,"")</x:f>
      </x:c>
      <x:c r="F13" s="22"/>
      <x:c r="G13" s="23" t="str">
        <x:f>IF(ISNUMBER(I10),I10,"")</x:f>
      </x:c>
      <x:c r="H13" s="16" t="str">
        <x:v>Bälle</x:v>
      </x:c>
      <x:c r="I13" s="17" t="str">
        <x:v>Aufn.</x:v>
      </x:c>
      <x:c r="J13" s="22"/>
      <x:c r="K13" s="23"/>
      <x:c r="L13" s="2"/>
      <x:c r="M13" s="2"/>
      <x:c r="N13" s="26" t="str">
        <x:f>IF(COUNT(B14,D14,F14,J14)=0,"",SUM(B14,D14,F14,J14))</x:f>
      </x:c>
      <x:c r="O13" s="26" t="str">
        <x:f>IF(COUNT(B13,D13,F13,J13)=0,"",SUM(B13,D13,F13,J13))</x:f>
      </x:c>
      <x:c r="P13" s="26" t="str">
        <x:f>IF(COUNT(C13,E13,G13,K13)=0,"",SUM(C13,E13,G13,K13))</x:f>
      </x:c>
      <x:c r="Q13" s="29" t="str">
        <x:f>IF(COUNT(B14,D14,F14,J14)=0,"",MAX(IF(B14=2,B15,0),IF(D14=2,D15,0),IF(F14=2,F15,0),IF(J14=2,J15,0)))</x:f>
      </x:c>
      <x:c r="R13" s="29" t="str">
        <x:f>IF(P13&gt;0,TRUNC(O13/P13,3),"")</x:f>
      </x:c>
      <x:c r="S13" s="26" t="str">
        <x:f>IF(COUNT(C15,E15,G15,K15)=0,"",MAX(C15,E15,G15,K15))</x:f>
      </x:c>
      <x:c r="T13" s="26" t="str">
        <x:f>IF(Teilnehmer!O8&lt;&gt;"",Teilnehmer!O8,IF(COUNT(D5,F5,H5,J5,F8,H8,J8,H11,J11,J14)&lt;10,"",1+IF(AND(ISNUMBER(N4),N4&gt;N13),1,0)+IF(AND(ISNUMBER(N4),N4=N13,ISNUMBER(R4),R4&gt;R13),1,0)+IF(AND(ISNUMBER(N7),N7&gt;N13),1,0)+IF(AND(ISNUMBER(N7),N7=N13,ISNUMBER(R7),R7&gt;R13),1,0)+IF(AND(ISNUMBER(N10),N10&gt;N13),1,0)+IF(AND(ISNUMBER(N10),N10=N13,ISNUMBER(R10),R10&gt;R13),1,0)+IF(AND(ISNUMBER(N13),N13&gt;N13),1,0)+IF(AND(ISNUMBER(N13),N13=N13,ISNUMBER(R13),R13&gt;R13),1,0)+IF(AND(ISNUMBER(N16),N16&gt;N13),1,0)+IF(AND(ISNUMBER(N16),N16=N13,ISNUMBER(R16),R16&gt;R13),1,0)))</x:f>
      </x:c>
    </x:row>
    <x:row r="14" ht="24" customHeight="1">
      <x:c r="A14" s="33"/>
      <x:c r="B14" s="12" t="str">
        <x:f>IF(AND(ISNUMBER(B13),ISNUMBER(H4)),IF(IF(AND(Teilnehmer!F8&gt;0,Teilnehmer!F3&gt;0),B13/Teilnehmer!F8,B13)&gt;IF(AND(Teilnehmer!F8&gt;0,Teilnehmer!F3&gt;0),H4/Teilnehmer!F3,H4),2,IF(IF(AND(Teilnehmer!F8&gt;0,Teilnehmer!F3&gt;0),B13/Teilnehmer!F8,B13)=IF(AND(Teilnehmer!F8&gt;0,Teilnehmer!F3&gt;0),H4/Teilnehmer!F3,H4),1,0)),"")</x:f>
      </x:c>
      <x:c r="C14" s="13"/>
      <x:c r="D14" s="12" t="str">
        <x:f>IF(AND(ISNUMBER(D13),ISNUMBER(H7)),IF(IF(AND(Teilnehmer!F8&gt;0,Teilnehmer!F4&gt;0),D13/Teilnehmer!F8,D13)&gt;IF(AND(Teilnehmer!F8&gt;0,Teilnehmer!F4&gt;0),H7/Teilnehmer!F4,H7),2,IF(IF(AND(Teilnehmer!F8&gt;0,Teilnehmer!F4&gt;0),D13/Teilnehmer!F8,D13)=IF(AND(Teilnehmer!F8&gt;0,Teilnehmer!F4&gt;0),H7/Teilnehmer!F4,H7),1,0)),"")</x:f>
      </x:c>
      <x:c r="E14" s="13"/>
      <x:c r="F14" s="12" t="str">
        <x:f>IF(AND(ISNUMBER(F13),ISNUMBER(H10)),IF(IF(AND(Teilnehmer!F8&gt;0,Teilnehmer!F7&gt;0),F13/Teilnehmer!F8,F13)&gt;IF(AND(Teilnehmer!F8&gt;0,Teilnehmer!F7&gt;0),H10/Teilnehmer!F7,H10),2,IF(IF(AND(Teilnehmer!F8&gt;0,Teilnehmer!F7&gt;0),F13/Teilnehmer!F8,F13)=IF(AND(Teilnehmer!F8&gt;0,Teilnehmer!F7&gt;0),H10/Teilnehmer!F7,H10),1,0)),"")</x:f>
      </x:c>
      <x:c r="G14" s="13"/>
      <x:c r="H14" s="18" t="str">
        <x:v>Partiepunkte</x:v>
      </x:c>
      <x:c r="I14" s="19"/>
      <x:c r="J14" s="12" t="str">
        <x:f>IF(AND(ISNUMBER(J13),ISNUMBER(H16)),IF(IF(AND(Teilnehmer!F8&gt;0,Teilnehmer!F10&gt;0),J13/Teilnehmer!F8,J13)&gt;IF(AND(Teilnehmer!F8&gt;0,Teilnehmer!F10&gt;0),H16/Teilnehmer!F10,H16),2,IF(IF(AND(Teilnehmer!F8&gt;0,Teilnehmer!F10&gt;0),J13/Teilnehmer!F8,J13)=IF(AND(Teilnehmer!F8&gt;0,Teilnehmer!F10&gt;0),H16/Teilnehmer!F10,H16),1,0)),"")</x:f>
      </x:c>
      <x:c r="K14" s="13"/>
      <x:c r="L14" s="2"/>
      <x:c r="M14" s="2"/>
      <x:c r="N14" s="27"/>
      <x:c r="O14" s="27"/>
      <x:c r="P14" s="27"/>
      <x:c r="Q14" s="30"/>
      <x:c r="R14" s="30"/>
      <x:c r="S14" s="27"/>
      <x:c r="T14" s="27"/>
    </x:row>
    <x:row r="15" ht="24" customHeight="1">
      <x:c r="A15" s="33"/>
      <x:c r="B15" s="25" t="str">
        <x:f>IF(AND(ISNUMBER(B13),C13&gt;0),TRUNC(B13/C13,3),"")</x:f>
      </x:c>
      <x:c r="C15" s="24"/>
      <x:c r="D15" s="25" t="str">
        <x:f>IF(AND(ISNUMBER(D13),E13&gt;0),TRUNC(D13/E13,3),"")</x:f>
      </x:c>
      <x:c r="E15" s="24"/>
      <x:c r="F15" s="25" t="str">
        <x:f>IF(AND(ISNUMBER(F13),G13&gt;0),TRUNC(F13/G13,3),"")</x:f>
      </x:c>
      <x:c r="G15" s="24"/>
      <x:c r="H15" s="20" t="str">
        <x:v>DS</x:v>
      </x:c>
      <x:c r="I15" s="21" t="str">
        <x:v>HS</x:v>
      </x:c>
      <x:c r="J15" s="25" t="str">
        <x:f>IF(AND(ISNUMBER(J13),K13&gt;0),TRUNC(J13/K13,3),"")</x:f>
      </x:c>
      <x:c r="K15" s="24"/>
      <x:c r="L15" s="2"/>
      <x:c r="M15" s="2"/>
      <x:c r="N15" s="28"/>
      <x:c r="O15" s="28"/>
      <x:c r="P15" s="28"/>
      <x:c r="Q15" s="31"/>
      <x:c r="R15" s="31"/>
      <x:c r="S15" s="28"/>
      <x:c r="T15" s="28"/>
    </x:row>
    <x:row r="16" ht="24" customHeight="1">
      <x:c r="A16" s="33" t="str">
        <x:f>IF(Teilnehmer!B10="","",Teilnehmer!B10)</x:f>
      </x:c>
      <x:c r="B16" s="22"/>
      <x:c r="C16" s="23" t="str">
        <x:f>IF(ISNUMBER(K4),K4,"")</x:f>
      </x:c>
      <x:c r="D16" s="22"/>
      <x:c r="E16" s="23" t="str">
        <x:f>IF(ISNUMBER(K7),K7,"")</x:f>
      </x:c>
      <x:c r="F16" s="22"/>
      <x:c r="G16" s="23" t="str">
        <x:f>IF(ISNUMBER(K10),K10,"")</x:f>
      </x:c>
      <x:c r="H16" s="22"/>
      <x:c r="I16" s="23" t="str">
        <x:f>IF(ISNUMBER(K13),K13,"")</x:f>
      </x:c>
      <x:c r="J16" s="16" t="str">
        <x:v>Bälle</x:v>
      </x:c>
      <x:c r="K16" s="17" t="str">
        <x:v>Aufn.</x:v>
      </x:c>
      <x:c r="L16" s="2"/>
      <x:c r="M16" s="2"/>
      <x:c r="N16" s="26" t="str">
        <x:f>IF(COUNT(B17,D17,F17,H17)=0,"",SUM(B17,D17,F17,H17))</x:f>
      </x:c>
      <x:c r="O16" s="26" t="str">
        <x:f>IF(COUNT(B16,D16,F16,H16)=0,"",SUM(B16,D16,F16,H16))</x:f>
      </x:c>
      <x:c r="P16" s="26" t="str">
        <x:f>IF(COUNT(C16,E16,G16,I16)=0,"",SUM(C16,E16,G16,I16))</x:f>
      </x:c>
      <x:c r="Q16" s="29" t="str">
        <x:f>IF(COUNT(B17,D17,F17,H17)=0,"",MAX(IF(B17=2,B18,0),IF(D17=2,D18,0),IF(F17=2,F18,0),IF(H17=2,H18,0)))</x:f>
      </x:c>
      <x:c r="R16" s="29" t="str">
        <x:f>IF(P16&gt;0,TRUNC(O16/P16,3),"")</x:f>
      </x:c>
      <x:c r="S16" s="26" t="str">
        <x:f>IF(COUNT(C18,E18,G18,I18)=0,"",MAX(C18,E18,G18,I18))</x:f>
      </x:c>
      <x:c r="T16" s="26" t="str">
        <x:f>IF(Teilnehmer!O10&lt;&gt;"",Teilnehmer!O10,IF(COUNT(D5,F5,H5,J5,F8,H8,J8,H11,J11,J14)&lt;10,"",1+IF(AND(ISNUMBER(N4),N4&gt;N16),1,0)+IF(AND(ISNUMBER(N4),N4=N16,ISNUMBER(R4),R4&gt;R16),1,0)+IF(AND(ISNUMBER(N7),N7&gt;N16),1,0)+IF(AND(ISNUMBER(N7),N7=N16,ISNUMBER(R7),R7&gt;R16),1,0)+IF(AND(ISNUMBER(N10),N10&gt;N16),1,0)+IF(AND(ISNUMBER(N10),N10=N16,ISNUMBER(R10),R10&gt;R16),1,0)+IF(AND(ISNUMBER(N13),N13&gt;N16),1,0)+IF(AND(ISNUMBER(N13),N13=N16,ISNUMBER(R13),R13&gt;R16),1,0)+IF(AND(ISNUMBER(N16),N16&gt;N16),1,0)+IF(AND(ISNUMBER(N16),N16=N16,ISNUMBER(R16),R16&gt;R16),1,0)))</x:f>
      </x:c>
    </x:row>
    <x:row r="17" ht="24" customHeight="1">
      <x:c r="A17" s="33"/>
      <x:c r="B17" s="12" t="str">
        <x:f>IF(AND(ISNUMBER(B16),ISNUMBER(J4)),IF(IF(AND(Teilnehmer!F10&gt;0,Teilnehmer!F3&gt;0),B16/Teilnehmer!F10,B16)&gt;IF(AND(Teilnehmer!F10&gt;0,Teilnehmer!F3&gt;0),J4/Teilnehmer!F3,J4),2,IF(IF(AND(Teilnehmer!F10&gt;0,Teilnehmer!F3&gt;0),B16/Teilnehmer!F10,B16)=IF(AND(Teilnehmer!F10&gt;0,Teilnehmer!F3&gt;0),J4/Teilnehmer!F3,J4),1,0)),"")</x:f>
      </x:c>
      <x:c r="C17" s="13"/>
      <x:c r="D17" s="12" t="str">
        <x:f>IF(AND(ISNUMBER(D16),ISNUMBER(J7)),IF(IF(AND(Teilnehmer!F10&gt;0,Teilnehmer!F4&gt;0),D16/Teilnehmer!F10,D16)&gt;IF(AND(Teilnehmer!F10&gt;0,Teilnehmer!F4&gt;0),J7/Teilnehmer!F4,J7),2,IF(IF(AND(Teilnehmer!F10&gt;0,Teilnehmer!F4&gt;0),D16/Teilnehmer!F10,D16)=IF(AND(Teilnehmer!F10&gt;0,Teilnehmer!F4&gt;0),J7/Teilnehmer!F4,J7),1,0)),"")</x:f>
      </x:c>
      <x:c r="E17" s="13"/>
      <x:c r="F17" s="12" t="str">
        <x:f>IF(AND(ISNUMBER(F16),ISNUMBER(J10)),IF(IF(AND(Teilnehmer!F10&gt;0,Teilnehmer!F7&gt;0),F16/Teilnehmer!F10,F16)&gt;IF(AND(Teilnehmer!F10&gt;0,Teilnehmer!F7&gt;0),J10/Teilnehmer!F7,J10),2,IF(IF(AND(Teilnehmer!F10&gt;0,Teilnehmer!F7&gt;0),F16/Teilnehmer!F10,F16)=IF(AND(Teilnehmer!F10&gt;0,Teilnehmer!F7&gt;0),J10/Teilnehmer!F7,J10),1,0)),"")</x:f>
      </x:c>
      <x:c r="G17" s="13"/>
      <x:c r="H17" s="12" t="str">
        <x:f>IF(AND(ISNUMBER(H16),ISNUMBER(J13)),IF(IF(AND(Teilnehmer!F10&gt;0,Teilnehmer!F8&gt;0),H16/Teilnehmer!F10,H16)&gt;IF(AND(Teilnehmer!F10&gt;0,Teilnehmer!F8&gt;0),J13/Teilnehmer!F8,J13),2,IF(IF(AND(Teilnehmer!F10&gt;0,Teilnehmer!F8&gt;0),H16/Teilnehmer!F10,H16)=IF(AND(Teilnehmer!F10&gt;0,Teilnehmer!F8&gt;0),J13/Teilnehmer!F8,J13),1,0)),"")</x:f>
      </x:c>
      <x:c r="I17" s="13"/>
      <x:c r="J17" s="18" t="str">
        <x:v>Partiepunkte</x:v>
      </x:c>
      <x:c r="K17" s="19"/>
      <x:c r="L17" s="2"/>
      <x:c r="M17" s="2"/>
      <x:c r="N17" s="27"/>
      <x:c r="O17" s="27"/>
      <x:c r="P17" s="27"/>
      <x:c r="Q17" s="30"/>
      <x:c r="R17" s="30"/>
      <x:c r="S17" s="27"/>
      <x:c r="T17" s="27"/>
    </x:row>
    <x:row r="18" ht="24" customHeight="1">
      <x:c r="A18" s="34"/>
      <x:c r="B18" s="25" t="str">
        <x:f>IF(AND(ISNUMBER(B16),C16&gt;0),TRUNC(B16/C16,3),"")</x:f>
      </x:c>
      <x:c r="C18" s="24"/>
      <x:c r="D18" s="25" t="str">
        <x:f>IF(AND(ISNUMBER(D16),E16&gt;0),TRUNC(D16/E16,3),"")</x:f>
      </x:c>
      <x:c r="E18" s="24"/>
      <x:c r="F18" s="25" t="str">
        <x:f>IF(AND(ISNUMBER(F16),G16&gt;0),TRUNC(F16/G16,3),"")</x:f>
      </x:c>
      <x:c r="G18" s="24"/>
      <x:c r="H18" s="25" t="str">
        <x:f>IF(AND(ISNUMBER(H16),I16&gt;0),TRUNC(H16/I16,3),"")</x:f>
      </x:c>
      <x:c r="I18" s="24"/>
      <x:c r="J18" s="20" t="str">
        <x:v>DS</x:v>
      </x:c>
      <x:c r="K18" s="21" t="str">
        <x:v>HS</x:v>
      </x:c>
      <x:c r="L18" s="2"/>
      <x:c r="M18" s="2"/>
      <x:c r="N18" s="28"/>
      <x:c r="O18" s="28"/>
      <x:c r="P18" s="28"/>
      <x:c r="Q18" s="31"/>
      <x:c r="R18" s="31"/>
      <x:c r="S18" s="28"/>
      <x:c r="T18" s="28"/>
    </x:row>
    <x:row r="19" ht="24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</x:row>
    <x:row r="20" ht="30" customHeight="1">
      <x:c r="A20" s="2" t="str">
        <x:v>Grün: Bälle, Aufnahmen, HS. Bei Vorgabe zählt der erreichte Anteil. Rangkorrektur bei Gleichstand: Teilnehmer, Spalte O.</x:v>
      </x:c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</x:row>
    <x:row r="21" ht="24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</x:row>
    <x:row r="22" ht="24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</x:row>
    <x:row r="23" ht="24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</x:row>
    <x:row r="24" ht="24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</x:row>
    <x:row r="25" ht="24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</x:row>
    <x:row r="26" ht="24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</x:row>
    <x:row r="27" ht="24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</x:row>
    <x:row r="28" ht="24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</x:row>
    <x:row r="29" ht="24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</x:row>
    <x:row r="35" ht="24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</x:row>
    <x:row r="39" ht="24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</x:row>
    <x:row r="41" ht="24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</x:row>
  </x:sheetData>
  <x:mergeCells>
    <x:mergeCell ref="D1:P1"/>
    <x:mergeCell ref="S1:T1"/>
    <x:mergeCell ref="S2:T2"/>
    <x:mergeCell ref="B3:C3"/>
    <x:mergeCell ref="A4:A6"/>
    <x:mergeCell ref="B5:C5"/>
    <x:mergeCell ref="D5:E5"/>
    <x:mergeCell ref="F5:G5"/>
    <x:mergeCell ref="H5:I5"/>
    <x:mergeCell ref="J5:K5"/>
    <x:mergeCell ref="N4:N6"/>
    <x:mergeCell ref="O4:O6"/>
    <x:mergeCell ref="P4:P6"/>
    <x:mergeCell ref="Q4:Q6"/>
    <x:mergeCell ref="R4:R6"/>
    <x:mergeCell ref="S4:S6"/>
    <x:mergeCell ref="T4:T6"/>
    <x:mergeCell ref="D3:E3"/>
    <x:mergeCell ref="A7:A9"/>
    <x:mergeCell ref="B8:C8"/>
    <x:mergeCell ref="D8:E8"/>
    <x:mergeCell ref="F8:G8"/>
    <x:mergeCell ref="H8:I8"/>
    <x:mergeCell ref="J8:K8"/>
    <x:mergeCell ref="N7:N9"/>
    <x:mergeCell ref="O7:O9"/>
    <x:mergeCell ref="P7:P9"/>
    <x:mergeCell ref="Q7:Q9"/>
    <x:mergeCell ref="R7:R9"/>
    <x:mergeCell ref="S7:S9"/>
    <x:mergeCell ref="T7:T9"/>
    <x:mergeCell ref="F3:G3"/>
    <x:mergeCell ref="A10:A12"/>
    <x:mergeCell ref="B11:C11"/>
    <x:mergeCell ref="D11:E11"/>
    <x:mergeCell ref="F11:G11"/>
    <x:mergeCell ref="H11:I11"/>
    <x:mergeCell ref="J11:K11"/>
    <x:mergeCell ref="N10:N12"/>
    <x:mergeCell ref="O10:O12"/>
    <x:mergeCell ref="P10:P12"/>
    <x:mergeCell ref="Q10:Q12"/>
    <x:mergeCell ref="R10:R12"/>
    <x:mergeCell ref="S10:S12"/>
    <x:mergeCell ref="T10:T12"/>
    <x:mergeCell ref="H3:I3"/>
    <x:mergeCell ref="A13:A15"/>
    <x:mergeCell ref="B14:C14"/>
    <x:mergeCell ref="D14:E14"/>
    <x:mergeCell ref="F14:G14"/>
    <x:mergeCell ref="H14:I14"/>
    <x:mergeCell ref="J14:K14"/>
    <x:mergeCell ref="N13:N15"/>
    <x:mergeCell ref="O13:O15"/>
    <x:mergeCell ref="P13:P15"/>
    <x:mergeCell ref="Q13:Q15"/>
    <x:mergeCell ref="R13:R15"/>
    <x:mergeCell ref="S13:S15"/>
    <x:mergeCell ref="T13:T15"/>
    <x:mergeCell ref="J3:K3"/>
    <x:mergeCell ref="A16:A18"/>
    <x:mergeCell ref="B17:C17"/>
    <x:mergeCell ref="D17:E17"/>
    <x:mergeCell ref="F17:G17"/>
    <x:mergeCell ref="H17:I17"/>
    <x:mergeCell ref="J17:K17"/>
    <x:mergeCell ref="N16:N18"/>
    <x:mergeCell ref="O16:O18"/>
    <x:mergeCell ref="P16:P18"/>
    <x:mergeCell ref="Q16:Q18"/>
    <x:mergeCell ref="R16:R18"/>
    <x:mergeCell ref="S16:S18"/>
    <x:mergeCell ref="T16:T18"/>
    <x:mergeCell ref="A20:T20"/>
  </x:mergeCells>
  <x:pageMargins left="0.2" right="0.2" top="0.3" bottom="0.3" header="0.1" footer="0.1"/>
  <x:pageSetup paperSize="9" orientation="landscape" fitToWidth="1" fitToHeight="1"/>
</x:worksheet>
</file>

<file path=xl/worksheets/sheet3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3" hidden="0" customWidth="1"/>
    <x:col min="11" max="11" width="3" hidden="0" customWidth="1"/>
    <x:col min="12" max="12" width="3" hidden="0" customWidth="1"/>
    <x:col min="13" max="13" width="3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2" hidden="1" width="10" customWidth="1"/>
  </x:cols>
  <x:sheetData>
    <x:row r="1" ht="36" customHeight="1">
      <x:c r="A1" s="1"/>
      <x:c r="B1" s="1"/>
      <x:c r="C1" s="1"/>
      <x:c r="D1" s="43" t="str">
        <x:v>T16a – Finalrunde</x:v>
      </x:c>
      <x:c r="E1" s="43"/>
      <x:c r="F1" s="43"/>
      <x:c r="G1" s="43"/>
      <x:c r="H1" s="43"/>
      <x:c r="I1" s="43"/>
      <x:c r="J1" s="43"/>
      <x:c r="K1" s="43"/>
      <x:c r="L1" s="43"/>
      <x:c r="M1" s="43"/>
      <x:c r="N1" s="43"/>
      <x:c r="O1" s="43"/>
      <x:c r="P1" s="43"/>
      <x:c r="Q1" s="1"/>
      <x:c r="R1" s="1"/>
      <x:c r="S1" s="1"/>
      <x:c r="T1" s="1"/>
    </x:row>
    <x:row r="2" ht="24" customHeight="1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 t="str">
        <x:v>Datum:</x:v>
      </x:c>
      <x:c r="S2" s="44"/>
      <x:c r="T2" s="1"/>
    </x:row>
    <x:row r="3" ht="24" customHeight="1">
      <x:c r="A3" s="45" t="str">
        <x:v>Halbfinale – Runde 6, Tisch 1: HF1; Tisch 2: HF2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</x:row>
    <x:row r="4" ht="40" customHeight="1">
      <x:c r="A4" s="46" t="str">
        <x:v>Name</x:v>
      </x:c>
      <x:c r="B4" s="47" t="str">
        <x:f>IF(U4="","",INDEX(Teilnehmer!$B$2:$B$10,MATCH(U4,Teilnehmer!$A$2:$A$10,0)))</x:f>
      </x:c>
      <x:c r="C4" s="46"/>
      <x:c r="D4" s="47" t="str">
        <x:f>IF(U5="","",INDEX(Teilnehmer!$B$2:$B$10,MATCH(U5,Teilnehmer!$A$2:$A$10,0)))</x:f>
      </x:c>
      <x:c r="E4" s="46"/>
      <x:c r="F4" s="47" t="str">
        <x:f>IF(U6="","",INDEX(Teilnehmer!$B$2:$B$10,MATCH(U6,Teilnehmer!$A$2:$A$10,0)))</x:f>
      </x:c>
      <x:c r="G4" s="46"/>
      <x:c r="H4" s="47" t="str">
        <x:f>IF(U7="","",INDEX(Teilnehmer!$B$2:$B$10,MATCH(U7,Teilnehmer!$A$2:$A$10,0)))</x:f>
      </x:c>
      <x:c r="I4" s="46"/>
      <x:c r="J4" s="46"/>
      <x:c r="K4" s="46"/>
      <x:c r="L4" s="46"/>
      <x:c r="M4" s="46"/>
      <x:c r="N4" s="46" t="str">
        <x:v>Partiepunkte</x:v>
      </x:c>
      <x:c r="O4" s="46" t="str">
        <x:v>Bälle</x:v>
      </x:c>
      <x:c r="P4" s="46" t="str">
        <x:v>Aufnahmen</x:v>
      </x:c>
      <x:c r="Q4" s="46" t="str">
        <x:v>BED</x:v>
      </x:c>
      <x:c r="R4" s="46" t="str">
        <x:v>DS</x:v>
      </x:c>
      <x:c r="S4" s="46" t="str">
        <x:v>HS</x:v>
      </x:c>
      <x:c r="T4" s="46" t="str">
        <x:v>Platz</x:v>
      </x:c>
      <x:c r="U4" t="str">
        <x:f>IF(COUNTIF(Teilnehmer!$P$2:$P$10,"A1")=1,INDEX(Teilnehmer!$A$2:$A$10,MATCH("A1",Teilnehmer!$P$2:$P$10,0)),"")</x:f>
      </x:c>
    </x:row>
    <x:row r="5" ht="24" customHeight="1">
      <x:c r="A5" s="48" t="str">
        <x:f>IF(B4="","",B4)</x:f>
      </x:c>
      <x:c r="B5" s="55" t="str">
        <x:v>Bälle</x:v>
      </x:c>
      <x:c r="C5" s="56" t="str">
        <x:v>Aufn.</x:v>
      </x:c>
      <x:c r="D5" s="61"/>
      <x:c r="E5" s="62"/>
      <x:c r="F5" s="55"/>
      <x:c r="G5" s="56"/>
      <x:c r="H5" s="55"/>
      <x:c r="I5" s="56"/>
      <x:c r="J5" s="1"/>
      <x:c r="K5" s="1"/>
      <x:c r="L5" s="1"/>
      <x:c r="M5" s="1"/>
      <x:c r="N5" s="66" t="str">
        <x:f>IF(COUNT(D6)=0,"",SUM(D6))</x:f>
      </x:c>
      <x:c r="O5" s="66" t="str">
        <x:f>IF(COUNT(D5)=0,"",SUM(D5))</x:f>
      </x:c>
      <x:c r="P5" s="66" t="str">
        <x:f>IF(COUNT(E5)=0,"",SUM(E5))</x:f>
      </x:c>
      <x:c r="Q5" s="69" t="str">
        <x:f>IF(COUNT(D6)=0,"",MAX(IF(D6=2,D7,0)))</x:f>
      </x:c>
      <x:c r="R5" s="69" t="str">
        <x:f>IF(P5&gt;0,TRUNC(O5/P5,3),"")</x:f>
      </x:c>
      <x:c r="S5" s="66" t="str">
        <x:f>IF(COUNT(E7)=0,"",MAX(E7))</x:f>
      </x:c>
      <x:c r="T5" s="66" t="str">
        <x:f>IF(ISNUMBER(N5),IF(N5=2,1,IF(N5=0,2,"")),"")</x:f>
      </x:c>
      <x:c r="U5" t="str">
        <x:f>IF(COUNTIF(Teilnehmer!$P$2:$P$10,"B2")=1,INDEX(Teilnehmer!$A$2:$A$10,MATCH("B2",Teilnehmer!$P$2:$P$10,0)),"")</x:f>
      </x:c>
      <x:c r="V5"/>
    </x:row>
    <x:row r="6" ht="24" customHeight="1">
      <x:c r="A6" s="1"/>
      <x:c r="B6" s="57" t="str">
        <x:v>Partiepunkte</x:v>
      </x:c>
      <x:c r="C6" s="58"/>
      <x:c r="D6" s="64" t="str">
        <x:f>IF(AND(ISNUMBER(D5),ISNUMBER(B8),U4&lt;&gt;"",U5&lt;&gt;""),IF(IF(AND(INDEX(Teilnehmer!$F$2:$F$10,MATCH(U4,Teilnehmer!$A$2:$A$10,0))&gt;0,INDEX(Teilnehmer!$F$2:$F$10,MATCH(U5,Teilnehmer!$A$2:$A$10,0))&gt;0),D5/INDEX(Teilnehmer!$F$2:$F$10,MATCH(U4,Teilnehmer!$A$2:$A$10,0)),D5)&gt;IF(AND(INDEX(Teilnehmer!$F$2:$F$10,MATCH(U4,Teilnehmer!$A$2:$A$10,0))&gt;0,INDEX(Teilnehmer!$F$2:$F$10,MATCH(U5,Teilnehmer!$A$2:$A$10,0))&gt;0),B8/INDEX(Teilnehmer!$F$2:$F$10,MATCH(U5,Teilnehmer!$A$2:$A$10,0)),B8),2,IF(IF(AND(INDEX(Teilnehmer!$F$2:$F$10,MATCH(U4,Teilnehmer!$A$2:$A$10,0))&gt;0,INDEX(Teilnehmer!$F$2:$F$10,MATCH(U5,Teilnehmer!$A$2:$A$10,0))&gt;0),D5/INDEX(Teilnehmer!$F$2:$F$10,MATCH(U4,Teilnehmer!$A$2:$A$10,0)),D5)=IF(AND(INDEX(Teilnehmer!$F$2:$F$10,MATCH(U4,Teilnehmer!$A$2:$A$10,0))&gt;0,INDEX(Teilnehmer!$F$2:$F$10,MATCH(U5,Teilnehmer!$A$2:$A$10,0))&gt;0),B8/INDEX(Teilnehmer!$F$2:$F$10,MATCH(U5,Teilnehmer!$A$2:$A$10,0)),B8),1,0)),"")</x:f>
      </x:c>
      <x:c r="E6" s="52"/>
      <x:c r="F6" s="57"/>
      <x:c r="G6" s="58"/>
      <x:c r="H6" s="57"/>
      <x:c r="I6" s="58"/>
      <x:c r="J6" s="1"/>
      <x:c r="K6" s="1"/>
      <x:c r="L6" s="1"/>
      <x:c r="M6" s="1"/>
      <x:c r="N6" s="67"/>
      <x:c r="O6" s="67"/>
      <x:c r="P6" s="67"/>
      <x:c r="Q6" s="70"/>
      <x:c r="R6" s="70"/>
      <x:c r="S6" s="67"/>
      <x:c r="T6" s="67"/>
      <x:c r="U6" t="str">
        <x:f>IF(COUNTIF(Teilnehmer!$P$2:$P$10,"B1")=1,INDEX(Teilnehmer!$A$2:$A$10,MATCH("B1",Teilnehmer!$P$2:$P$10,0)),"")</x:f>
      </x:c>
      <x:c r="V6"/>
    </x:row>
    <x:row r="7" ht="24" customHeight="1">
      <x:c r="A7" s="1"/>
      <x:c r="B7" s="59" t="str">
        <x:v>DS</x:v>
      </x:c>
      <x:c r="C7" s="60" t="str">
        <x:v>HS</x:v>
      </x:c>
      <x:c r="D7" s="65" t="str">
        <x:f>IF(AND(ISNUMBER(D5),E5&gt;0),TRUNC(D5/E5,3),"")</x:f>
      </x:c>
      <x:c r="E7" s="63"/>
      <x:c r="F7" s="59"/>
      <x:c r="G7" s="60"/>
      <x:c r="H7" s="59"/>
      <x:c r="I7" s="60"/>
      <x:c r="J7" s="1"/>
      <x:c r="K7" s="1"/>
      <x:c r="L7" s="1"/>
      <x:c r="M7" s="1"/>
      <x:c r="N7" s="68"/>
      <x:c r="O7" s="68"/>
      <x:c r="P7" s="68"/>
      <x:c r="Q7" s="71"/>
      <x:c r="R7" s="71"/>
      <x:c r="S7" s="68"/>
      <x:c r="T7" s="68"/>
      <x:c r="U7" t="str">
        <x:f>IF(COUNTIF(Teilnehmer!$P$2:$P$10,"A2")=1,INDEX(Teilnehmer!$A$2:$A$10,MATCH("A2",Teilnehmer!$P$2:$P$10,0)),"")</x:f>
      </x:c>
      <x:c r="V7"/>
    </x:row>
    <x:row r="8" ht="24" customHeight="1">
      <x:c r="A8" s="48" t="str">
        <x:f>IF(D4="","",D4)</x:f>
      </x:c>
      <x:c r="B8" s="61"/>
      <x:c r="C8" s="62" t="str">
        <x:f>IF(ISNUMBER(E5),E5,"")</x:f>
      </x:c>
      <x:c r="D8" s="55" t="str">
        <x:v>Bälle</x:v>
      </x:c>
      <x:c r="E8" s="56" t="str">
        <x:v>Aufn.</x:v>
      </x:c>
      <x:c r="F8" s="55"/>
      <x:c r="G8" s="56"/>
      <x:c r="H8" s="55"/>
      <x:c r="I8" s="56"/>
      <x:c r="J8" s="1"/>
      <x:c r="K8" s="1"/>
      <x:c r="L8" s="1"/>
      <x:c r="M8" s="1"/>
      <x:c r="N8" s="66" t="str">
        <x:f>IF(COUNT(B9)=0,"",SUM(B9))</x:f>
      </x:c>
      <x:c r="O8" s="66" t="str">
        <x:f>IF(COUNT(B8)=0,"",SUM(B8))</x:f>
      </x:c>
      <x:c r="P8" s="66" t="str">
        <x:f>IF(COUNT(C8)=0,"",SUM(C8))</x:f>
      </x:c>
      <x:c r="Q8" s="69" t="str">
        <x:f>IF(COUNT(B9)=0,"",MAX(IF(B9=2,B10,0)))</x:f>
      </x:c>
      <x:c r="R8" s="69" t="str">
        <x:f>IF(P8&gt;0,TRUNC(O8/P8,3),"")</x:f>
      </x:c>
      <x:c r="S8" s="66" t="str">
        <x:f>IF(COUNT(C10)=0,"",MAX(C10))</x:f>
      </x:c>
      <x:c r="T8" s="66" t="str">
        <x:f>IF(ISNUMBER(N8),IF(N8=2,1,IF(N8=0,2,"")),"")</x:f>
      </x:c>
      <x:c r="U8"/>
      <x:c r="V8"/>
    </x:row>
    <x:row r="9" ht="24" customHeight="1">
      <x:c r="A9" s="1"/>
      <x:c r="B9" s="64" t="str">
        <x:f>IF(AND(ISNUMBER(B8),ISNUMBER(D5),U5&lt;&gt;"",U4&lt;&gt;""),IF(IF(AND(INDEX(Teilnehmer!$F$2:$F$10,MATCH(U5,Teilnehmer!$A$2:$A$10,0))&gt;0,INDEX(Teilnehmer!$F$2:$F$10,MATCH(U4,Teilnehmer!$A$2:$A$10,0))&gt;0),B8/INDEX(Teilnehmer!$F$2:$F$10,MATCH(U5,Teilnehmer!$A$2:$A$10,0)),B8)&gt;IF(AND(INDEX(Teilnehmer!$F$2:$F$10,MATCH(U5,Teilnehmer!$A$2:$A$10,0))&gt;0,INDEX(Teilnehmer!$F$2:$F$10,MATCH(U4,Teilnehmer!$A$2:$A$10,0))&gt;0),D5/INDEX(Teilnehmer!$F$2:$F$10,MATCH(U4,Teilnehmer!$A$2:$A$10,0)),D5),2,IF(IF(AND(INDEX(Teilnehmer!$F$2:$F$10,MATCH(U5,Teilnehmer!$A$2:$A$10,0))&gt;0,INDEX(Teilnehmer!$F$2:$F$10,MATCH(U4,Teilnehmer!$A$2:$A$10,0))&gt;0),B8/INDEX(Teilnehmer!$F$2:$F$10,MATCH(U5,Teilnehmer!$A$2:$A$10,0)),B8)=IF(AND(INDEX(Teilnehmer!$F$2:$F$10,MATCH(U5,Teilnehmer!$A$2:$A$10,0))&gt;0,INDEX(Teilnehmer!$F$2:$F$10,MATCH(U4,Teilnehmer!$A$2:$A$10,0))&gt;0),D5/INDEX(Teilnehmer!$F$2:$F$10,MATCH(U4,Teilnehmer!$A$2:$A$10,0)),D5),1,0)),"")</x:f>
      </x:c>
      <x:c r="C9" s="52"/>
      <x:c r="D9" s="57" t="str">
        <x:v>Partiepunkte</x:v>
      </x:c>
      <x:c r="E9" s="58"/>
      <x:c r="F9" s="57"/>
      <x:c r="G9" s="58"/>
      <x:c r="H9" s="57"/>
      <x:c r="I9" s="58"/>
      <x:c r="J9" s="1"/>
      <x:c r="K9" s="1"/>
      <x:c r="L9" s="1"/>
      <x:c r="M9" s="1"/>
      <x:c r="N9" s="67"/>
      <x:c r="O9" s="67"/>
      <x:c r="P9" s="67"/>
      <x:c r="Q9" s="70"/>
      <x:c r="R9" s="70"/>
      <x:c r="S9" s="67"/>
      <x:c r="T9" s="67"/>
      <x:c r="U9"/>
      <x:c r="V9"/>
    </x:row>
    <x:row r="10" ht="24" customHeight="1">
      <x:c r="A10" s="1"/>
      <x:c r="B10" s="65" t="str">
        <x:f>IF(AND(ISNUMBER(B8),C8&gt;0),TRUNC(B8/C8,3),"")</x:f>
      </x:c>
      <x:c r="C10" s="63"/>
      <x:c r="D10" s="59" t="str">
        <x:v>DS</x:v>
      </x:c>
      <x:c r="E10" s="60" t="str">
        <x:v>HS</x:v>
      </x:c>
      <x:c r="F10" s="59"/>
      <x:c r="G10" s="60"/>
      <x:c r="H10" s="59"/>
      <x:c r="I10" s="60"/>
      <x:c r="J10" s="1"/>
      <x:c r="K10" s="1"/>
      <x:c r="L10" s="1"/>
      <x:c r="M10" s="1"/>
      <x:c r="N10" s="68"/>
      <x:c r="O10" s="68"/>
      <x:c r="P10" s="68"/>
      <x:c r="Q10" s="71"/>
      <x:c r="R10" s="71"/>
      <x:c r="S10" s="68"/>
      <x:c r="T10" s="68"/>
      <x:c r="U10"/>
      <x:c r="V10"/>
    </x:row>
    <x:row r="11" ht="24" customHeight="1">
      <x:c r="A11" s="48" t="str">
        <x:f>IF(F4="","",F4)</x:f>
      </x:c>
      <x:c r="B11" s="55"/>
      <x:c r="C11" s="56"/>
      <x:c r="D11" s="55"/>
      <x:c r="E11" s="56"/>
      <x:c r="F11" s="55" t="str">
        <x:v>Bälle</x:v>
      </x:c>
      <x:c r="G11" s="56" t="str">
        <x:v>Aufn.</x:v>
      </x:c>
      <x:c r="H11" s="61"/>
      <x:c r="I11" s="62"/>
      <x:c r="J11" s="1"/>
      <x:c r="K11" s="1"/>
      <x:c r="L11" s="1"/>
      <x:c r="M11" s="1"/>
      <x:c r="N11" s="66" t="str">
        <x:f>IF(COUNT(H12)=0,"",SUM(H12))</x:f>
      </x:c>
      <x:c r="O11" s="66" t="str">
        <x:f>IF(COUNT(H11)=0,"",SUM(H11))</x:f>
      </x:c>
      <x:c r="P11" s="66" t="str">
        <x:f>IF(COUNT(I11)=0,"",SUM(I11))</x:f>
      </x:c>
      <x:c r="Q11" s="69" t="str">
        <x:f>IF(COUNT(H12)=0,"",MAX(IF(H12=2,H13,0)))</x:f>
      </x:c>
      <x:c r="R11" s="69" t="str">
        <x:f>IF(P11&gt;0,TRUNC(O11/P11,3),"")</x:f>
      </x:c>
      <x:c r="S11" s="66" t="str">
        <x:f>IF(COUNT(I13)=0,"",MAX(I13))</x:f>
      </x:c>
      <x:c r="T11" s="66" t="str">
        <x:f>IF(ISNUMBER(N11),IF(N11=2,1,IF(N11=0,2,"")),"")</x:f>
      </x:c>
    </x:row>
    <x:row r="12" ht="24" customHeight="1">
      <x:c r="A12" s="1"/>
      <x:c r="B12" s="57"/>
      <x:c r="C12" s="58"/>
      <x:c r="D12" s="57"/>
      <x:c r="E12" s="58"/>
      <x:c r="F12" s="57" t="str">
        <x:v>Partiepunkte</x:v>
      </x:c>
      <x:c r="G12" s="58"/>
      <x:c r="H12" s="64" t="str">
        <x:f>IF(AND(ISNUMBER(H11),ISNUMBER(F14),U6&lt;&gt;"",U7&lt;&gt;""),IF(IF(AND(INDEX(Teilnehmer!$F$2:$F$10,MATCH(U6,Teilnehmer!$A$2:$A$10,0))&gt;0,INDEX(Teilnehmer!$F$2:$F$10,MATCH(U7,Teilnehmer!$A$2:$A$10,0))&gt;0),H11/INDEX(Teilnehmer!$F$2:$F$10,MATCH(U6,Teilnehmer!$A$2:$A$10,0)),H11)&gt;IF(AND(INDEX(Teilnehmer!$F$2:$F$10,MATCH(U6,Teilnehmer!$A$2:$A$10,0))&gt;0,INDEX(Teilnehmer!$F$2:$F$10,MATCH(U7,Teilnehmer!$A$2:$A$10,0))&gt;0),F14/INDEX(Teilnehmer!$F$2:$F$10,MATCH(U7,Teilnehmer!$A$2:$A$10,0)),F14),2,IF(IF(AND(INDEX(Teilnehmer!$F$2:$F$10,MATCH(U6,Teilnehmer!$A$2:$A$10,0))&gt;0,INDEX(Teilnehmer!$F$2:$F$10,MATCH(U7,Teilnehmer!$A$2:$A$10,0))&gt;0),H11/INDEX(Teilnehmer!$F$2:$F$10,MATCH(U6,Teilnehmer!$A$2:$A$10,0)),H11)=IF(AND(INDEX(Teilnehmer!$F$2:$F$10,MATCH(U6,Teilnehmer!$A$2:$A$10,0))&gt;0,INDEX(Teilnehmer!$F$2:$F$10,MATCH(U7,Teilnehmer!$A$2:$A$10,0))&gt;0),F14/INDEX(Teilnehmer!$F$2:$F$10,MATCH(U7,Teilnehmer!$A$2:$A$10,0)),F14),1,0)),"")</x:f>
      </x:c>
      <x:c r="I12" s="52"/>
      <x:c r="J12" s="1"/>
      <x:c r="K12" s="1"/>
      <x:c r="L12" s="1"/>
      <x:c r="M12" s="1"/>
      <x:c r="N12" s="67"/>
      <x:c r="O12" s="67"/>
      <x:c r="P12" s="67"/>
      <x:c r="Q12" s="70"/>
      <x:c r="R12" s="70"/>
      <x:c r="S12" s="67"/>
      <x:c r="T12" s="67"/>
    </x:row>
    <x:row r="13" ht="24" customHeight="1">
      <x:c r="A13" s="1"/>
      <x:c r="B13" s="59"/>
      <x:c r="C13" s="60"/>
      <x:c r="D13" s="59"/>
      <x:c r="E13" s="60"/>
      <x:c r="F13" s="59" t="str">
        <x:v>DS</x:v>
      </x:c>
      <x:c r="G13" s="60" t="str">
        <x:v>HS</x:v>
      </x:c>
      <x:c r="H13" s="65" t="str">
        <x:f>IF(AND(ISNUMBER(H11),I11&gt;0),TRUNC(H11/I11,3),"")</x:f>
      </x:c>
      <x:c r="I13" s="63"/>
      <x:c r="J13" s="1"/>
      <x:c r="K13" s="1"/>
      <x:c r="L13" s="1"/>
      <x:c r="M13" s="1"/>
      <x:c r="N13" s="68"/>
      <x:c r="O13" s="68"/>
      <x:c r="P13" s="68"/>
      <x:c r="Q13" s="71"/>
      <x:c r="R13" s="71"/>
      <x:c r="S13" s="68"/>
      <x:c r="T13" s="68"/>
    </x:row>
    <x:row r="14" ht="24" customHeight="1">
      <x:c r="A14" s="48" t="str">
        <x:f>IF(H4="","",H4)</x:f>
      </x:c>
      <x:c r="B14" s="55"/>
      <x:c r="C14" s="56"/>
      <x:c r="D14" s="55"/>
      <x:c r="E14" s="56"/>
      <x:c r="F14" s="61"/>
      <x:c r="G14" s="62" t="str">
        <x:f>IF(ISNUMBER(I11),I11,"")</x:f>
      </x:c>
      <x:c r="H14" s="55" t="str">
        <x:v>Bälle</x:v>
      </x:c>
      <x:c r="I14" s="56" t="str">
        <x:v>Aufn.</x:v>
      </x:c>
      <x:c r="J14" s="1"/>
      <x:c r="K14" s="1"/>
      <x:c r="L14" s="1"/>
      <x:c r="M14" s="1"/>
      <x:c r="N14" s="66" t="str">
        <x:f>IF(COUNT(F15)=0,"",SUM(F15))</x:f>
      </x:c>
      <x:c r="O14" s="66" t="str">
        <x:f>IF(COUNT(F14)=0,"",SUM(F14))</x:f>
      </x:c>
      <x:c r="P14" s="66" t="str">
        <x:f>IF(COUNT(G14)=0,"",SUM(G14))</x:f>
      </x:c>
      <x:c r="Q14" s="69" t="str">
        <x:f>IF(COUNT(F15)=0,"",MAX(IF(F15=2,F16,0)))</x:f>
      </x:c>
      <x:c r="R14" s="69" t="str">
        <x:f>IF(P14&gt;0,TRUNC(O14/P14,3),"")</x:f>
      </x:c>
      <x:c r="S14" s="66" t="str">
        <x:f>IF(COUNT(G16)=0,"",MAX(G16))</x:f>
      </x:c>
      <x:c r="T14" s="66" t="str">
        <x:f>IF(ISNUMBER(N14),IF(N14=2,1,IF(N14=0,2,"")),"")</x:f>
      </x:c>
    </x:row>
    <x:row r="15" ht="24" customHeight="1">
      <x:c r="A15" s="1"/>
      <x:c r="B15" s="57"/>
      <x:c r="C15" s="58"/>
      <x:c r="D15" s="57"/>
      <x:c r="E15" s="58"/>
      <x:c r="F15" s="64" t="str">
        <x:f>IF(AND(ISNUMBER(F14),ISNUMBER(H11),U7&lt;&gt;"",U6&lt;&gt;""),IF(IF(AND(INDEX(Teilnehmer!$F$2:$F$10,MATCH(U7,Teilnehmer!$A$2:$A$10,0))&gt;0,INDEX(Teilnehmer!$F$2:$F$10,MATCH(U6,Teilnehmer!$A$2:$A$10,0))&gt;0),F14/INDEX(Teilnehmer!$F$2:$F$10,MATCH(U7,Teilnehmer!$A$2:$A$10,0)),F14)&gt;IF(AND(INDEX(Teilnehmer!$F$2:$F$10,MATCH(U7,Teilnehmer!$A$2:$A$10,0))&gt;0,INDEX(Teilnehmer!$F$2:$F$10,MATCH(U6,Teilnehmer!$A$2:$A$10,0))&gt;0),H11/INDEX(Teilnehmer!$F$2:$F$10,MATCH(U6,Teilnehmer!$A$2:$A$10,0)),H11),2,IF(IF(AND(INDEX(Teilnehmer!$F$2:$F$10,MATCH(U7,Teilnehmer!$A$2:$A$10,0))&gt;0,INDEX(Teilnehmer!$F$2:$F$10,MATCH(U6,Teilnehmer!$A$2:$A$10,0))&gt;0),F14/INDEX(Teilnehmer!$F$2:$F$10,MATCH(U7,Teilnehmer!$A$2:$A$10,0)),F14)=IF(AND(INDEX(Teilnehmer!$F$2:$F$10,MATCH(U7,Teilnehmer!$A$2:$A$10,0))&gt;0,INDEX(Teilnehmer!$F$2:$F$10,MATCH(U6,Teilnehmer!$A$2:$A$10,0))&gt;0),H11/INDEX(Teilnehmer!$F$2:$F$10,MATCH(U6,Teilnehmer!$A$2:$A$10,0)),H11),1,0)),"")</x:f>
      </x:c>
      <x:c r="G15" s="52"/>
      <x:c r="H15" s="57" t="str">
        <x:v>Partiepunkte</x:v>
      </x:c>
      <x:c r="I15" s="58"/>
      <x:c r="J15" s="1"/>
      <x:c r="K15" s="1"/>
      <x:c r="L15" s="1"/>
      <x:c r="M15" s="1"/>
      <x:c r="N15" s="67"/>
      <x:c r="O15" s="67"/>
      <x:c r="P15" s="67"/>
      <x:c r="Q15" s="70"/>
      <x:c r="R15" s="70"/>
      <x:c r="S15" s="67"/>
      <x:c r="T15" s="67"/>
    </x:row>
    <x:row r="16" ht="24" customHeight="1">
      <x:c r="A16" s="1"/>
      <x:c r="B16" s="59"/>
      <x:c r="C16" s="60"/>
      <x:c r="D16" s="59"/>
      <x:c r="E16" s="60"/>
      <x:c r="F16" s="65" t="str">
        <x:f>IF(AND(ISNUMBER(F14),G14&gt;0),TRUNC(F14/G14,3),"")</x:f>
      </x:c>
      <x:c r="G16" s="63"/>
      <x:c r="H16" s="59" t="str">
        <x:v>DS</x:v>
      </x:c>
      <x:c r="I16" s="60" t="str">
        <x:v>HS</x:v>
      </x:c>
      <x:c r="J16" s="1"/>
      <x:c r="K16" s="1"/>
      <x:c r="L16" s="1"/>
      <x:c r="M16" s="1"/>
      <x:c r="N16" s="68"/>
      <x:c r="O16" s="68"/>
      <x:c r="P16" s="68"/>
      <x:c r="Q16" s="71"/>
      <x:c r="R16" s="71"/>
      <x:c r="S16" s="68"/>
      <x:c r="T16" s="68"/>
    </x:row>
    <x:row r="17" ht="24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</x:row>
    <x:row r="18" ht="24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</x:row>
    <x:row r="19" ht="24" customHeight="1">
      <x:c r="A19" s="45" t="str">
        <x:v>Finale und Platz 3–4 – Runde 7, Tisch 1: Finale; Tisch 2: Platz 3–4</x:v>
      </x:c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</x:row>
    <x:row r="20" ht="40" customHeight="1">
      <x:c r="A20" s="46" t="str">
        <x:v>Name</x:v>
      </x:c>
      <x:c r="B20" s="47" t="str">
        <x:f>IF(U20="","",INDEX(Teilnehmer!$B$2:$B$10,MATCH(U20,Teilnehmer!$A$2:$A$10,0)))</x:f>
      </x:c>
      <x:c r="C20" s="46"/>
      <x:c r="D20" s="47" t="str">
        <x:f>IF(U21="","",INDEX(Teilnehmer!$B$2:$B$10,MATCH(U21,Teilnehmer!$A$2:$A$10,0)))</x:f>
      </x:c>
      <x:c r="E20" s="46"/>
      <x:c r="F20" s="47" t="str">
        <x:f>IF(U22="","",INDEX(Teilnehmer!$B$2:$B$10,MATCH(U22,Teilnehmer!$A$2:$A$10,0)))</x:f>
      </x:c>
      <x:c r="G20" s="46"/>
      <x:c r="H20" s="47" t="str">
        <x:f>IF(U23="","",INDEX(Teilnehmer!$B$2:$B$10,MATCH(U23,Teilnehmer!$A$2:$A$10,0)))</x:f>
      </x:c>
      <x:c r="I20" s="46"/>
      <x:c r="J20" s="46"/>
      <x:c r="K20" s="46"/>
      <x:c r="L20" s="46"/>
      <x:c r="M20" s="46"/>
      <x:c r="N20" s="46" t="str">
        <x:v>Partiepunkte</x:v>
      </x:c>
      <x:c r="O20" s="46" t="str">
        <x:v>Bälle</x:v>
      </x:c>
      <x:c r="P20" s="46" t="str">
        <x:v>Aufnahmen</x:v>
      </x:c>
      <x:c r="Q20" s="46" t="str">
        <x:v>BED</x:v>
      </x:c>
      <x:c r="R20" s="46" t="str">
        <x:v>DS</x:v>
      </x:c>
      <x:c r="S20" s="46" t="str">
        <x:v>HS</x:v>
      </x:c>
      <x:c r="T20" s="46" t="str">
        <x:v>Platz</x:v>
      </x:c>
      <x:c r="U20" t="str">
        <x:f>IF(AND(ISNUMBER(D6),ISNUMBER(B9),D6&lt;&gt;B9),IF(D6&gt;B9,U4,U5),"")</x:f>
      </x:c>
    </x:row>
    <x:row r="21" ht="24" customHeight="1">
      <x:c r="A21" s="48" t="str">
        <x:f>IF(B20="","",B20)</x:f>
      </x:c>
      <x:c r="B21" s="55" t="str">
        <x:v>Bälle</x:v>
      </x:c>
      <x:c r="C21" s="56" t="str">
        <x:v>Aufn.</x:v>
      </x:c>
      <x:c r="D21" s="61"/>
      <x:c r="E21" s="62"/>
      <x:c r="F21" s="55"/>
      <x:c r="G21" s="56"/>
      <x:c r="H21" s="55"/>
      <x:c r="I21" s="56"/>
      <x:c r="J21" s="1"/>
      <x:c r="K21" s="1"/>
      <x:c r="L21" s="1"/>
      <x:c r="M21" s="1"/>
      <x:c r="N21" s="66" t="str">
        <x:f>IF(COUNT(D22)=0,"",SUM(D22))</x:f>
      </x:c>
      <x:c r="O21" s="66" t="str">
        <x:f>IF(COUNT(D21)=0,"",SUM(D21))</x:f>
      </x:c>
      <x:c r="P21" s="66" t="str">
        <x:f>IF(COUNT(E21)=0,"",SUM(E21))</x:f>
      </x:c>
      <x:c r="Q21" s="69" t="str">
        <x:f>IF(COUNT(D22)=0,"",MAX(IF(D22=2,D23,0)))</x:f>
      </x:c>
      <x:c r="R21" s="69" t="str">
        <x:f>IF(P21&gt;0,TRUNC(O21/P21,3),"")</x:f>
      </x:c>
      <x:c r="S21" s="66" t="str">
        <x:f>IF(COUNT(E23)=0,"",MAX(E23))</x:f>
      </x:c>
      <x:c r="T21" s="66" t="str">
        <x:f>IF(ISNUMBER(N21),IF(N21=2,1,IF(N21=0,2,"")),"")</x:f>
      </x:c>
      <x:c r="U21" t="str">
        <x:f>IF(AND(ISNUMBER(H12),ISNUMBER(F15),H12&lt;&gt;F15),IF(H12&gt;F15,U6,U7),"")</x:f>
      </x:c>
    </x:row>
    <x:row r="22" ht="24" customHeight="1">
      <x:c r="A22" s="1"/>
      <x:c r="B22" s="57" t="str">
        <x:v>Partiepunkte</x:v>
      </x:c>
      <x:c r="C22" s="58"/>
      <x:c r="D22" s="64" t="str">
        <x:f>IF(AND(ISNUMBER(D21),ISNUMBER(B24),U20&lt;&gt;"",U21&lt;&gt;""),IF(IF(AND(INDEX(Teilnehmer!$F$2:$F$10,MATCH(U20,Teilnehmer!$A$2:$A$10,0))&gt;0,INDEX(Teilnehmer!$F$2:$F$10,MATCH(U21,Teilnehmer!$A$2:$A$10,0))&gt;0),D21/INDEX(Teilnehmer!$F$2:$F$10,MATCH(U20,Teilnehmer!$A$2:$A$10,0)),D21)&gt;IF(AND(INDEX(Teilnehmer!$F$2:$F$10,MATCH(U20,Teilnehmer!$A$2:$A$10,0))&gt;0,INDEX(Teilnehmer!$F$2:$F$10,MATCH(U21,Teilnehmer!$A$2:$A$10,0))&gt;0),B24/INDEX(Teilnehmer!$F$2:$F$10,MATCH(U21,Teilnehmer!$A$2:$A$10,0)),B24),2,IF(IF(AND(INDEX(Teilnehmer!$F$2:$F$10,MATCH(U20,Teilnehmer!$A$2:$A$10,0))&gt;0,INDEX(Teilnehmer!$F$2:$F$10,MATCH(U21,Teilnehmer!$A$2:$A$10,0))&gt;0),D21/INDEX(Teilnehmer!$F$2:$F$10,MATCH(U20,Teilnehmer!$A$2:$A$10,0)),D21)=IF(AND(INDEX(Teilnehmer!$F$2:$F$10,MATCH(U20,Teilnehmer!$A$2:$A$10,0))&gt;0,INDEX(Teilnehmer!$F$2:$F$10,MATCH(U21,Teilnehmer!$A$2:$A$10,0))&gt;0),B24/INDEX(Teilnehmer!$F$2:$F$10,MATCH(U21,Teilnehmer!$A$2:$A$10,0)),B24),1,0)),"")</x:f>
      </x:c>
      <x:c r="E22" s="52"/>
      <x:c r="F22" s="57"/>
      <x:c r="G22" s="58"/>
      <x:c r="H22" s="57"/>
      <x:c r="I22" s="58"/>
      <x:c r="J22" s="1"/>
      <x:c r="K22" s="1"/>
      <x:c r="L22" s="1"/>
      <x:c r="M22" s="1"/>
      <x:c r="N22" s="67"/>
      <x:c r="O22" s="67"/>
      <x:c r="P22" s="67"/>
      <x:c r="Q22" s="70"/>
      <x:c r="R22" s="70"/>
      <x:c r="S22" s="67"/>
      <x:c r="T22" s="67"/>
      <x:c r="U22" t="str">
        <x:f>IF(AND(ISNUMBER(D6),ISNUMBER(B9),D6&lt;&gt;B9),IF(D6&lt;B9,U4,U5),"")</x:f>
      </x:c>
    </x:row>
    <x:row r="23" ht="24" customHeight="1">
      <x:c r="A23" s="1"/>
      <x:c r="B23" s="59" t="str">
        <x:v>DS</x:v>
      </x:c>
      <x:c r="C23" s="60" t="str">
        <x:v>HS</x:v>
      </x:c>
      <x:c r="D23" s="65" t="str">
        <x:f>IF(AND(ISNUMBER(D21),E21&gt;0),TRUNC(D21/E21,3),"")</x:f>
      </x:c>
      <x:c r="E23" s="63"/>
      <x:c r="F23" s="59"/>
      <x:c r="G23" s="60"/>
      <x:c r="H23" s="59"/>
      <x:c r="I23" s="60"/>
      <x:c r="J23" s="1"/>
      <x:c r="K23" s="1"/>
      <x:c r="L23" s="1"/>
      <x:c r="M23" s="1"/>
      <x:c r="N23" s="68"/>
      <x:c r="O23" s="68"/>
      <x:c r="P23" s="68"/>
      <x:c r="Q23" s="71"/>
      <x:c r="R23" s="71"/>
      <x:c r="S23" s="68"/>
      <x:c r="T23" s="68"/>
      <x:c r="U23" t="str">
        <x:f>IF(AND(ISNUMBER(H12),ISNUMBER(F15),H12&lt;&gt;F15),IF(H12&lt;F15,U6,U7),"")</x:f>
      </x:c>
    </x:row>
    <x:row r="24" ht="24" customHeight="1">
      <x:c r="A24" s="48" t="str">
        <x:f>IF(D20="","",D20)</x:f>
      </x:c>
      <x:c r="B24" s="61"/>
      <x:c r="C24" s="62" t="str">
        <x:f>IF(ISNUMBER(E21),E21,"")</x:f>
      </x:c>
      <x:c r="D24" s="55" t="str">
        <x:v>Bälle</x:v>
      </x:c>
      <x:c r="E24" s="56" t="str">
        <x:v>Aufn.</x:v>
      </x:c>
      <x:c r="F24" s="55"/>
      <x:c r="G24" s="56"/>
      <x:c r="H24" s="55"/>
      <x:c r="I24" s="56"/>
      <x:c r="J24" s="1"/>
      <x:c r="K24" s="1"/>
      <x:c r="L24" s="1"/>
      <x:c r="M24" s="1"/>
      <x:c r="N24" s="66" t="str">
        <x:f>IF(COUNT(B25)=0,"",SUM(B25))</x:f>
      </x:c>
      <x:c r="O24" s="66" t="str">
        <x:f>IF(COUNT(B24)=0,"",SUM(B24))</x:f>
      </x:c>
      <x:c r="P24" s="66" t="str">
        <x:f>IF(COUNT(C24)=0,"",SUM(C24))</x:f>
      </x:c>
      <x:c r="Q24" s="69" t="str">
        <x:f>IF(COUNT(B25)=0,"",MAX(IF(B25=2,B26,0)))</x:f>
      </x:c>
      <x:c r="R24" s="69" t="str">
        <x:f>IF(P24&gt;0,TRUNC(O24/P24,3),"")</x:f>
      </x:c>
      <x:c r="S24" s="66" t="str">
        <x:f>IF(COUNT(C26)=0,"",MAX(C26))</x:f>
      </x:c>
      <x:c r="T24" s="66" t="str">
        <x:f>IF(ISNUMBER(N24),IF(N24=2,1,IF(N24=0,2,"")),"")</x:f>
      </x:c>
    </x:row>
    <x:row r="25" ht="24" customHeight="1">
      <x:c r="A25" s="1"/>
      <x:c r="B25" s="64" t="str">
        <x:f>IF(AND(ISNUMBER(B24),ISNUMBER(D21),U21&lt;&gt;"",U20&lt;&gt;""),IF(IF(AND(INDEX(Teilnehmer!$F$2:$F$10,MATCH(U21,Teilnehmer!$A$2:$A$10,0))&gt;0,INDEX(Teilnehmer!$F$2:$F$10,MATCH(U20,Teilnehmer!$A$2:$A$10,0))&gt;0),B24/INDEX(Teilnehmer!$F$2:$F$10,MATCH(U21,Teilnehmer!$A$2:$A$10,0)),B24)&gt;IF(AND(INDEX(Teilnehmer!$F$2:$F$10,MATCH(U21,Teilnehmer!$A$2:$A$10,0))&gt;0,INDEX(Teilnehmer!$F$2:$F$10,MATCH(U20,Teilnehmer!$A$2:$A$10,0))&gt;0),D21/INDEX(Teilnehmer!$F$2:$F$10,MATCH(U20,Teilnehmer!$A$2:$A$10,0)),D21),2,IF(IF(AND(INDEX(Teilnehmer!$F$2:$F$10,MATCH(U21,Teilnehmer!$A$2:$A$10,0))&gt;0,INDEX(Teilnehmer!$F$2:$F$10,MATCH(U20,Teilnehmer!$A$2:$A$10,0))&gt;0),B24/INDEX(Teilnehmer!$F$2:$F$10,MATCH(U21,Teilnehmer!$A$2:$A$10,0)),B24)=IF(AND(INDEX(Teilnehmer!$F$2:$F$10,MATCH(U21,Teilnehmer!$A$2:$A$10,0))&gt;0,INDEX(Teilnehmer!$F$2:$F$10,MATCH(U20,Teilnehmer!$A$2:$A$10,0))&gt;0),D21/INDEX(Teilnehmer!$F$2:$F$10,MATCH(U20,Teilnehmer!$A$2:$A$10,0)),D21),1,0)),"")</x:f>
      </x:c>
      <x:c r="C25" s="52"/>
      <x:c r="D25" s="57" t="str">
        <x:v>Partiepunkte</x:v>
      </x:c>
      <x:c r="E25" s="58"/>
      <x:c r="F25" s="57"/>
      <x:c r="G25" s="58"/>
      <x:c r="H25" s="57"/>
      <x:c r="I25" s="58"/>
      <x:c r="J25" s="1"/>
      <x:c r="K25" s="1"/>
      <x:c r="L25" s="1"/>
      <x:c r="M25" s="1"/>
      <x:c r="N25" s="67"/>
      <x:c r="O25" s="67"/>
      <x:c r="P25" s="67"/>
      <x:c r="Q25" s="70"/>
      <x:c r="R25" s="70"/>
      <x:c r="S25" s="67"/>
      <x:c r="T25" s="67"/>
    </x:row>
    <x:row r="26" ht="24" customHeight="1">
      <x:c r="A26" s="1"/>
      <x:c r="B26" s="65" t="str">
        <x:f>IF(AND(ISNUMBER(B24),C24&gt;0),TRUNC(B24/C24,3),"")</x:f>
      </x:c>
      <x:c r="C26" s="63"/>
      <x:c r="D26" s="59" t="str">
        <x:v>DS</x:v>
      </x:c>
      <x:c r="E26" s="60" t="str">
        <x:v>HS</x:v>
      </x:c>
      <x:c r="F26" s="59"/>
      <x:c r="G26" s="60"/>
      <x:c r="H26" s="59"/>
      <x:c r="I26" s="60"/>
      <x:c r="J26" s="1"/>
      <x:c r="K26" s="1"/>
      <x:c r="L26" s="1"/>
      <x:c r="M26" s="1"/>
      <x:c r="N26" s="68"/>
      <x:c r="O26" s="68"/>
      <x:c r="P26" s="68"/>
      <x:c r="Q26" s="71"/>
      <x:c r="R26" s="71"/>
      <x:c r="S26" s="68"/>
      <x:c r="T26" s="68"/>
    </x:row>
    <x:row r="27" ht="24" customHeight="1">
      <x:c r="A27" s="48" t="str">
        <x:f>IF(F20="","",F20)</x:f>
      </x:c>
      <x:c r="B27" s="55"/>
      <x:c r="C27" s="56"/>
      <x:c r="D27" s="55"/>
      <x:c r="E27" s="56"/>
      <x:c r="F27" s="55" t="str">
        <x:v>Bälle</x:v>
      </x:c>
      <x:c r="G27" s="56" t="str">
        <x:v>Aufn.</x:v>
      </x:c>
      <x:c r="H27" s="61"/>
      <x:c r="I27" s="62"/>
      <x:c r="J27" s="1"/>
      <x:c r="K27" s="1"/>
      <x:c r="L27" s="1"/>
      <x:c r="M27" s="1"/>
      <x:c r="N27" s="66" t="str">
        <x:f>IF(COUNT(H28)=0,"",SUM(H28))</x:f>
      </x:c>
      <x:c r="O27" s="66" t="str">
        <x:f>IF(COUNT(H27)=0,"",SUM(H27))</x:f>
      </x:c>
      <x:c r="P27" s="66" t="str">
        <x:f>IF(COUNT(I27)=0,"",SUM(I27))</x:f>
      </x:c>
      <x:c r="Q27" s="69" t="str">
        <x:f>IF(COUNT(H28)=0,"",MAX(IF(H28=2,H29,0)))</x:f>
      </x:c>
      <x:c r="R27" s="69" t="str">
        <x:f>IF(P27&gt;0,TRUNC(O27/P27,3),"")</x:f>
      </x:c>
      <x:c r="S27" s="66" t="str">
        <x:f>IF(COUNT(I29)=0,"",MAX(I29))</x:f>
      </x:c>
      <x:c r="T27" s="66" t="str">
        <x:f>IF(ISNUMBER(N27),IF(N27=2,1,IF(N27=0,2,"")),"")</x:f>
      </x:c>
    </x:row>
    <x:row r="28" ht="24" customHeight="1">
      <x:c r="A28" s="1"/>
      <x:c r="B28" s="57"/>
      <x:c r="C28" s="58"/>
      <x:c r="D28" s="57"/>
      <x:c r="E28" s="58"/>
      <x:c r="F28" s="57" t="str">
        <x:v>Partiepunkte</x:v>
      </x:c>
      <x:c r="G28" s="58"/>
      <x:c r="H28" s="64" t="str">
        <x:f>IF(AND(ISNUMBER(H27),ISNUMBER(F30),U22&lt;&gt;"",U23&lt;&gt;""),IF(IF(AND(INDEX(Teilnehmer!$F$2:$F$10,MATCH(U22,Teilnehmer!$A$2:$A$10,0))&gt;0,INDEX(Teilnehmer!$F$2:$F$10,MATCH(U23,Teilnehmer!$A$2:$A$10,0))&gt;0),H27/INDEX(Teilnehmer!$F$2:$F$10,MATCH(U22,Teilnehmer!$A$2:$A$10,0)),H27)&gt;IF(AND(INDEX(Teilnehmer!$F$2:$F$10,MATCH(U22,Teilnehmer!$A$2:$A$10,0))&gt;0,INDEX(Teilnehmer!$F$2:$F$10,MATCH(U23,Teilnehmer!$A$2:$A$10,0))&gt;0),F30/INDEX(Teilnehmer!$F$2:$F$10,MATCH(U23,Teilnehmer!$A$2:$A$10,0)),F30),2,IF(IF(AND(INDEX(Teilnehmer!$F$2:$F$10,MATCH(U22,Teilnehmer!$A$2:$A$10,0))&gt;0,INDEX(Teilnehmer!$F$2:$F$10,MATCH(U23,Teilnehmer!$A$2:$A$10,0))&gt;0),H27/INDEX(Teilnehmer!$F$2:$F$10,MATCH(U22,Teilnehmer!$A$2:$A$10,0)),H27)=IF(AND(INDEX(Teilnehmer!$F$2:$F$10,MATCH(U22,Teilnehmer!$A$2:$A$10,0))&gt;0,INDEX(Teilnehmer!$F$2:$F$10,MATCH(U23,Teilnehmer!$A$2:$A$10,0))&gt;0),F30/INDEX(Teilnehmer!$F$2:$F$10,MATCH(U23,Teilnehmer!$A$2:$A$10,0)),F30),1,0)),"")</x:f>
      </x:c>
      <x:c r="I28" s="52"/>
      <x:c r="J28" s="1"/>
      <x:c r="K28" s="1"/>
      <x:c r="L28" s="1"/>
      <x:c r="M28" s="1"/>
      <x:c r="N28" s="67"/>
      <x:c r="O28" s="67"/>
      <x:c r="P28" s="67"/>
      <x:c r="Q28" s="70"/>
      <x:c r="R28" s="70"/>
      <x:c r="S28" s="67"/>
      <x:c r="T28" s="67"/>
    </x:row>
    <x:row r="29" ht="24" customHeight="1">
      <x:c r="A29" s="1"/>
      <x:c r="B29" s="59"/>
      <x:c r="C29" s="60"/>
      <x:c r="D29" s="59"/>
      <x:c r="E29" s="60"/>
      <x:c r="F29" s="59" t="str">
        <x:v>DS</x:v>
      </x:c>
      <x:c r="G29" s="60" t="str">
        <x:v>HS</x:v>
      </x:c>
      <x:c r="H29" s="65" t="str">
        <x:f>IF(AND(ISNUMBER(H27),I27&gt;0),TRUNC(H27/I27,3),"")</x:f>
      </x:c>
      <x:c r="I29" s="63"/>
      <x:c r="J29" s="1"/>
      <x:c r="K29" s="1"/>
      <x:c r="L29" s="1"/>
      <x:c r="M29" s="1"/>
      <x:c r="N29" s="68"/>
      <x:c r="O29" s="68"/>
      <x:c r="P29" s="68"/>
      <x:c r="Q29" s="71"/>
      <x:c r="R29" s="71"/>
      <x:c r="S29" s="68"/>
      <x:c r="T29" s="68"/>
    </x:row>
    <x:row r="30" ht="24" customHeight="1">
      <x:c r="A30" s="48" t="str">
        <x:f>IF(H20="","",H20)</x:f>
      </x:c>
      <x:c r="B30" s="55"/>
      <x:c r="C30" s="56"/>
      <x:c r="D30" s="55"/>
      <x:c r="E30" s="56"/>
      <x:c r="F30" s="61"/>
      <x:c r="G30" s="62" t="str">
        <x:f>IF(ISNUMBER(I27),I27,"")</x:f>
      </x:c>
      <x:c r="H30" s="55" t="str">
        <x:v>Bälle</x:v>
      </x:c>
      <x:c r="I30" s="56" t="str">
        <x:v>Aufn.</x:v>
      </x:c>
      <x:c r="J30" s="1"/>
      <x:c r="K30" s="1"/>
      <x:c r="L30" s="1"/>
      <x:c r="M30" s="1"/>
      <x:c r="N30" s="66" t="str">
        <x:f>IF(COUNT(F31)=0,"",SUM(F31))</x:f>
      </x:c>
      <x:c r="O30" s="66" t="str">
        <x:f>IF(COUNT(F30)=0,"",SUM(F30))</x:f>
      </x:c>
      <x:c r="P30" s="66" t="str">
        <x:f>IF(COUNT(G30)=0,"",SUM(G30))</x:f>
      </x:c>
      <x:c r="Q30" s="69" t="str">
        <x:f>IF(COUNT(F31)=0,"",MAX(IF(F31=2,F32,0)))</x:f>
      </x:c>
      <x:c r="R30" s="69" t="str">
        <x:f>IF(P30&gt;0,TRUNC(O30/P30,3),"")</x:f>
      </x:c>
      <x:c r="S30" s="66" t="str">
        <x:f>IF(COUNT(G32)=0,"",MAX(G32))</x:f>
      </x:c>
      <x:c r="T30" s="66" t="str">
        <x:f>IF(ISNUMBER(N30),IF(N30=2,1,IF(N30=0,2,"")),"")</x:f>
      </x:c>
    </x:row>
    <x:row r="31" ht="24" customHeight="1">
      <x:c r="A31" s="1"/>
      <x:c r="B31" s="57"/>
      <x:c r="C31" s="58"/>
      <x:c r="D31" s="57"/>
      <x:c r="E31" s="58"/>
      <x:c r="F31" s="64" t="str">
        <x:f>IF(AND(ISNUMBER(F30),ISNUMBER(H27),U23&lt;&gt;"",U22&lt;&gt;""),IF(IF(AND(INDEX(Teilnehmer!$F$2:$F$10,MATCH(U23,Teilnehmer!$A$2:$A$10,0))&gt;0,INDEX(Teilnehmer!$F$2:$F$10,MATCH(U22,Teilnehmer!$A$2:$A$10,0))&gt;0),F30/INDEX(Teilnehmer!$F$2:$F$10,MATCH(U23,Teilnehmer!$A$2:$A$10,0)),F30)&gt;IF(AND(INDEX(Teilnehmer!$F$2:$F$10,MATCH(U23,Teilnehmer!$A$2:$A$10,0))&gt;0,INDEX(Teilnehmer!$F$2:$F$10,MATCH(U22,Teilnehmer!$A$2:$A$10,0))&gt;0),H27/INDEX(Teilnehmer!$F$2:$F$10,MATCH(U22,Teilnehmer!$A$2:$A$10,0)),H27),2,IF(IF(AND(INDEX(Teilnehmer!$F$2:$F$10,MATCH(U23,Teilnehmer!$A$2:$A$10,0))&gt;0,INDEX(Teilnehmer!$F$2:$F$10,MATCH(U22,Teilnehmer!$A$2:$A$10,0))&gt;0),F30/INDEX(Teilnehmer!$F$2:$F$10,MATCH(U23,Teilnehmer!$A$2:$A$10,0)),F30)=IF(AND(INDEX(Teilnehmer!$F$2:$F$10,MATCH(U23,Teilnehmer!$A$2:$A$10,0))&gt;0,INDEX(Teilnehmer!$F$2:$F$10,MATCH(U22,Teilnehmer!$A$2:$A$10,0))&gt;0),H27/INDEX(Teilnehmer!$F$2:$F$10,MATCH(U22,Teilnehmer!$A$2:$A$10,0)),H27),1,0)),"")</x:f>
      </x:c>
      <x:c r="G31" s="52"/>
      <x:c r="H31" s="57" t="str">
        <x:v>Partiepunkte</x:v>
      </x:c>
      <x:c r="I31" s="58"/>
      <x:c r="J31" s="1"/>
      <x:c r="K31" s="1"/>
      <x:c r="L31" s="1"/>
      <x:c r="M31" s="1"/>
      <x:c r="N31" s="67"/>
      <x:c r="O31" s="67"/>
      <x:c r="P31" s="67"/>
      <x:c r="Q31" s="70"/>
      <x:c r="R31" s="70"/>
      <x:c r="S31" s="67"/>
      <x:c r="T31" s="67"/>
    </x:row>
    <x:row r="32" ht="24" customHeight="1">
      <x:c r="A32" s="1"/>
      <x:c r="B32" s="59"/>
      <x:c r="C32" s="60"/>
      <x:c r="D32" s="59"/>
      <x:c r="E32" s="60"/>
      <x:c r="F32" s="65" t="str">
        <x:f>IF(AND(ISNUMBER(F30),G30&gt;0),TRUNC(F30/G30,3),"")</x:f>
      </x:c>
      <x:c r="G32" s="63"/>
      <x:c r="H32" s="59" t="str">
        <x:v>DS</x:v>
      </x:c>
      <x:c r="I32" s="60" t="str">
        <x:v>HS</x:v>
      </x:c>
      <x:c r="J32" s="1"/>
      <x:c r="K32" s="1"/>
      <x:c r="L32" s="1"/>
      <x:c r="M32" s="1"/>
      <x:c r="N32" s="68"/>
      <x:c r="O32" s="68"/>
      <x:c r="P32" s="68"/>
      <x:c r="Q32" s="71"/>
      <x:c r="R32" s="71"/>
      <x:c r="S32" s="68"/>
      <x:c r="T32" s="68"/>
    </x:row>
    <x:row r="33" ht="24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</x:row>
    <x:row r="34" ht="24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</x:row>
    <x:row r="35" ht="24" customHeight="1">
      <x:c r="A35" s="45" t="str">
        <x:v>Platzierungen – Runde 6, Tisch 3: Platz 5–6; Tisch 4: Platz 7–8</x:v>
      </x:c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</x:row>
    <x:row r="36" ht="40" customHeight="1">
      <x:c r="A36" s="46" t="str">
        <x:v>Name</x:v>
      </x:c>
      <x:c r="B36" s="47" t="str">
        <x:f>IF(U36="","",INDEX(Teilnehmer!$B$2:$B$10,MATCH(U36,Teilnehmer!$A$2:$A$10,0)))</x:f>
      </x:c>
      <x:c r="C36" s="46"/>
      <x:c r="D36" s="47" t="str">
        <x:f>IF(U37="","",INDEX(Teilnehmer!$B$2:$B$10,MATCH(U37,Teilnehmer!$A$2:$A$10,0)))</x:f>
      </x:c>
      <x:c r="E36" s="46"/>
      <x:c r="F36" s="47" t="str">
        <x:f>IF(U38="","",INDEX(Teilnehmer!$B$2:$B$10,MATCH(U38,Teilnehmer!$A$2:$A$10,0)))</x:f>
      </x:c>
      <x:c r="G36" s="46"/>
      <x:c r="H36" s="47" t="str">
        <x:f>IF(U39="","",INDEX(Teilnehmer!$B$2:$B$10,MATCH(U39,Teilnehmer!$A$2:$A$10,0)))</x:f>
      </x:c>
      <x:c r="I36" s="46"/>
      <x:c r="J36" s="46"/>
      <x:c r="K36" s="46"/>
      <x:c r="L36" s="46"/>
      <x:c r="M36" s="46"/>
      <x:c r="N36" s="46" t="str">
        <x:v>Partiepunkte</x:v>
      </x:c>
      <x:c r="O36" s="46" t="str">
        <x:v>Bälle</x:v>
      </x:c>
      <x:c r="P36" s="46" t="str">
        <x:v>Aufnahmen</x:v>
      </x:c>
      <x:c r="Q36" s="46" t="str">
        <x:v>BED</x:v>
      </x:c>
      <x:c r="R36" s="46" t="str">
        <x:v>DS</x:v>
      </x:c>
      <x:c r="S36" s="46" t="str">
        <x:v>HS</x:v>
      </x:c>
      <x:c r="T36" s="46" t="str">
        <x:v>Platz</x:v>
      </x:c>
      <x:c r="U36" t="str">
        <x:f>IF(COUNTIF(Teilnehmer!$P$2:$P$10,"A3")=1,INDEX(Teilnehmer!$A$2:$A$10,MATCH("A3",Teilnehmer!$P$2:$P$10,0)),"")</x:f>
      </x:c>
    </x:row>
    <x:row r="37" ht="24" customHeight="1">
      <x:c r="A37" s="48" t="str">
        <x:f>IF(B36="","",B36)</x:f>
      </x:c>
      <x:c r="B37" s="55" t="str">
        <x:v>Bälle</x:v>
      </x:c>
      <x:c r="C37" s="56" t="str">
        <x:v>Aufn.</x:v>
      </x:c>
      <x:c r="D37" s="61"/>
      <x:c r="E37" s="62"/>
      <x:c r="F37" s="55"/>
      <x:c r="G37" s="56"/>
      <x:c r="H37" s="55"/>
      <x:c r="I37" s="56"/>
      <x:c r="J37" s="1"/>
      <x:c r="K37" s="1"/>
      <x:c r="L37" s="1"/>
      <x:c r="M37" s="1"/>
      <x:c r="N37" s="66" t="str">
        <x:f>IF(COUNT(D38)=0,"",SUM(D38))</x:f>
      </x:c>
      <x:c r="O37" s="66" t="str">
        <x:f>IF(COUNT(D37)=0,"",SUM(D37))</x:f>
      </x:c>
      <x:c r="P37" s="66" t="str">
        <x:f>IF(COUNT(E37)=0,"",SUM(E37))</x:f>
      </x:c>
      <x:c r="Q37" s="69" t="str">
        <x:f>IF(COUNT(D38)=0,"",MAX(IF(D38=2,D39,0)))</x:f>
      </x:c>
      <x:c r="R37" s="69" t="str">
        <x:f>IF(P37&gt;0,TRUNC(O37/P37,3),"")</x:f>
      </x:c>
      <x:c r="S37" s="66" t="str">
        <x:f>IF(COUNT(E39)=0,"",MAX(E39))</x:f>
      </x:c>
      <x:c r="T37" s="66" t="str">
        <x:f>IF(ISNUMBER(N37),IF(N37=2,1,IF(N37=0,2,"")),"")</x:f>
      </x:c>
      <x:c r="U37" t="str">
        <x:f>IF(COUNTIF(Teilnehmer!$P$2:$P$10,"B3")=1,INDEX(Teilnehmer!$A$2:$A$10,MATCH("B3",Teilnehmer!$P$2:$P$10,0)),"")</x:f>
      </x:c>
    </x:row>
    <x:row r="38" ht="24" customHeight="1">
      <x:c r="A38" s="1"/>
      <x:c r="B38" s="57" t="str">
        <x:v>Partiepunkte</x:v>
      </x:c>
      <x:c r="C38" s="58"/>
      <x:c r="D38" s="64" t="str">
        <x:f>IF(AND(ISNUMBER(D37),ISNUMBER(B40),U36&lt;&gt;"",U37&lt;&gt;""),IF(IF(AND(INDEX(Teilnehmer!$F$2:$F$10,MATCH(U36,Teilnehmer!$A$2:$A$10,0))&gt;0,INDEX(Teilnehmer!$F$2:$F$10,MATCH(U37,Teilnehmer!$A$2:$A$10,0))&gt;0),D37/INDEX(Teilnehmer!$F$2:$F$10,MATCH(U36,Teilnehmer!$A$2:$A$10,0)),D37)&gt;IF(AND(INDEX(Teilnehmer!$F$2:$F$10,MATCH(U36,Teilnehmer!$A$2:$A$10,0))&gt;0,INDEX(Teilnehmer!$F$2:$F$10,MATCH(U37,Teilnehmer!$A$2:$A$10,0))&gt;0),B40/INDEX(Teilnehmer!$F$2:$F$10,MATCH(U37,Teilnehmer!$A$2:$A$10,0)),B40),2,IF(IF(AND(INDEX(Teilnehmer!$F$2:$F$10,MATCH(U36,Teilnehmer!$A$2:$A$10,0))&gt;0,INDEX(Teilnehmer!$F$2:$F$10,MATCH(U37,Teilnehmer!$A$2:$A$10,0))&gt;0),D37/INDEX(Teilnehmer!$F$2:$F$10,MATCH(U36,Teilnehmer!$A$2:$A$10,0)),D37)=IF(AND(INDEX(Teilnehmer!$F$2:$F$10,MATCH(U36,Teilnehmer!$A$2:$A$10,0))&gt;0,INDEX(Teilnehmer!$F$2:$F$10,MATCH(U37,Teilnehmer!$A$2:$A$10,0))&gt;0),B40/INDEX(Teilnehmer!$F$2:$F$10,MATCH(U37,Teilnehmer!$A$2:$A$10,0)),B40),1,0)),"")</x:f>
      </x:c>
      <x:c r="E38" s="52"/>
      <x:c r="F38" s="57"/>
      <x:c r="G38" s="58"/>
      <x:c r="H38" s="57"/>
      <x:c r="I38" s="58"/>
      <x:c r="J38" s="1"/>
      <x:c r="K38" s="1"/>
      <x:c r="L38" s="1"/>
      <x:c r="M38" s="1"/>
      <x:c r="N38" s="67"/>
      <x:c r="O38" s="67"/>
      <x:c r="P38" s="67"/>
      <x:c r="Q38" s="70"/>
      <x:c r="R38" s="70"/>
      <x:c r="S38" s="67"/>
      <x:c r="T38" s="67"/>
      <x:c r="U38" t="str">
        <x:f>IF(COUNTIF(Teilnehmer!$P$2:$P$10,"A4")=1,INDEX(Teilnehmer!$A$2:$A$10,MATCH("A4",Teilnehmer!$P$2:$P$10,0)),"")</x:f>
      </x:c>
    </x:row>
    <x:row r="39" ht="24" customHeight="1">
      <x:c r="A39" s="1"/>
      <x:c r="B39" s="59" t="str">
        <x:v>DS</x:v>
      </x:c>
      <x:c r="C39" s="60" t="str">
        <x:v>HS</x:v>
      </x:c>
      <x:c r="D39" s="65" t="str">
        <x:f>IF(AND(ISNUMBER(D37),E37&gt;0),TRUNC(D37/E37,3),"")</x:f>
      </x:c>
      <x:c r="E39" s="63"/>
      <x:c r="F39" s="59"/>
      <x:c r="G39" s="60"/>
      <x:c r="H39" s="59"/>
      <x:c r="I39" s="60"/>
      <x:c r="J39" s="1"/>
      <x:c r="K39" s="1"/>
      <x:c r="L39" s="1"/>
      <x:c r="M39" s="1"/>
      <x:c r="N39" s="68"/>
      <x:c r="O39" s="68"/>
      <x:c r="P39" s="68"/>
      <x:c r="Q39" s="71"/>
      <x:c r="R39" s="71"/>
      <x:c r="S39" s="68"/>
      <x:c r="T39" s="68"/>
      <x:c r="U39" t="str">
        <x:f>IF(COUNTIF(Teilnehmer!$P$2:$P$10,"B4")=1,INDEX(Teilnehmer!$A$2:$A$10,MATCH("B4",Teilnehmer!$P$2:$P$10,0)),"")</x:f>
      </x:c>
    </x:row>
    <x:row r="40" ht="24" customHeight="1">
      <x:c r="A40" s="48" t="str">
        <x:f>IF(D36="","",D36)</x:f>
      </x:c>
      <x:c r="B40" s="61"/>
      <x:c r="C40" s="62" t="str">
        <x:f>IF(ISNUMBER(E37),E37,"")</x:f>
      </x:c>
      <x:c r="D40" s="55" t="str">
        <x:v>Bälle</x:v>
      </x:c>
      <x:c r="E40" s="56" t="str">
        <x:v>Aufn.</x:v>
      </x:c>
      <x:c r="F40" s="55"/>
      <x:c r="G40" s="56"/>
      <x:c r="H40" s="55"/>
      <x:c r="I40" s="56"/>
      <x:c r="J40" s="1"/>
      <x:c r="K40" s="1"/>
      <x:c r="L40" s="1"/>
      <x:c r="M40" s="1"/>
      <x:c r="N40" s="66" t="str">
        <x:f>IF(COUNT(B41)=0,"",SUM(B41))</x:f>
      </x:c>
      <x:c r="O40" s="66" t="str">
        <x:f>IF(COUNT(B40)=0,"",SUM(B40))</x:f>
      </x:c>
      <x:c r="P40" s="66" t="str">
        <x:f>IF(COUNT(C40)=0,"",SUM(C40))</x:f>
      </x:c>
      <x:c r="Q40" s="69" t="str">
        <x:f>IF(COUNT(B41)=0,"",MAX(IF(B41=2,B42,0)))</x:f>
      </x:c>
      <x:c r="R40" s="69" t="str">
        <x:f>IF(P40&gt;0,TRUNC(O40/P40,3),"")</x:f>
      </x:c>
      <x:c r="S40" s="66" t="str">
        <x:f>IF(COUNT(C42)=0,"",MAX(C42))</x:f>
      </x:c>
      <x:c r="T40" s="66" t="str">
        <x:f>IF(ISNUMBER(N40),IF(N40=2,1,IF(N40=0,2,"")),"")</x:f>
      </x:c>
    </x:row>
    <x:row r="41" ht="24" customHeight="1">
      <x:c r="A41" s="1"/>
      <x:c r="B41" s="64" t="str">
        <x:f>IF(AND(ISNUMBER(B40),ISNUMBER(D37),U37&lt;&gt;"",U36&lt;&gt;""),IF(IF(AND(INDEX(Teilnehmer!$F$2:$F$10,MATCH(U37,Teilnehmer!$A$2:$A$10,0))&gt;0,INDEX(Teilnehmer!$F$2:$F$10,MATCH(U36,Teilnehmer!$A$2:$A$10,0))&gt;0),B40/INDEX(Teilnehmer!$F$2:$F$10,MATCH(U37,Teilnehmer!$A$2:$A$10,0)),B40)&gt;IF(AND(INDEX(Teilnehmer!$F$2:$F$10,MATCH(U37,Teilnehmer!$A$2:$A$10,0))&gt;0,INDEX(Teilnehmer!$F$2:$F$10,MATCH(U36,Teilnehmer!$A$2:$A$10,0))&gt;0),D37/INDEX(Teilnehmer!$F$2:$F$10,MATCH(U36,Teilnehmer!$A$2:$A$10,0)),D37),2,IF(IF(AND(INDEX(Teilnehmer!$F$2:$F$10,MATCH(U37,Teilnehmer!$A$2:$A$10,0))&gt;0,INDEX(Teilnehmer!$F$2:$F$10,MATCH(U36,Teilnehmer!$A$2:$A$10,0))&gt;0),B40/INDEX(Teilnehmer!$F$2:$F$10,MATCH(U37,Teilnehmer!$A$2:$A$10,0)),B40)=IF(AND(INDEX(Teilnehmer!$F$2:$F$10,MATCH(U37,Teilnehmer!$A$2:$A$10,0))&gt;0,INDEX(Teilnehmer!$F$2:$F$10,MATCH(U36,Teilnehmer!$A$2:$A$10,0))&gt;0),D37/INDEX(Teilnehmer!$F$2:$F$10,MATCH(U36,Teilnehmer!$A$2:$A$10,0)),D37),1,0)),"")</x:f>
      </x:c>
      <x:c r="C41" s="52"/>
      <x:c r="D41" s="57" t="str">
        <x:v>Partiepunkte</x:v>
      </x:c>
      <x:c r="E41" s="58"/>
      <x:c r="F41" s="57"/>
      <x:c r="G41" s="58"/>
      <x:c r="H41" s="57"/>
      <x:c r="I41" s="58"/>
      <x:c r="J41" s="1"/>
      <x:c r="K41" s="1"/>
      <x:c r="L41" s="1"/>
      <x:c r="M41" s="1"/>
      <x:c r="N41" s="67"/>
      <x:c r="O41" s="67"/>
      <x:c r="P41" s="67"/>
      <x:c r="Q41" s="70"/>
      <x:c r="R41" s="70"/>
      <x:c r="S41" s="67"/>
      <x:c r="T41" s="67"/>
    </x:row>
    <x:row r="42" ht="24" customHeight="1">
      <x:c r="A42" s="1"/>
      <x:c r="B42" s="65" t="str">
        <x:f>IF(AND(ISNUMBER(B40),C40&gt;0),TRUNC(B40/C40,3),"")</x:f>
      </x:c>
      <x:c r="C42" s="63"/>
      <x:c r="D42" s="59" t="str">
        <x:v>DS</x:v>
      </x:c>
      <x:c r="E42" s="60" t="str">
        <x:v>HS</x:v>
      </x:c>
      <x:c r="F42" s="59"/>
      <x:c r="G42" s="60"/>
      <x:c r="H42" s="59"/>
      <x:c r="I42" s="60"/>
      <x:c r="J42" s="1"/>
      <x:c r="K42" s="1"/>
      <x:c r="L42" s="1"/>
      <x:c r="M42" s="1"/>
      <x:c r="N42" s="68"/>
      <x:c r="O42" s="68"/>
      <x:c r="P42" s="68"/>
      <x:c r="Q42" s="71"/>
      <x:c r="R42" s="71"/>
      <x:c r="S42" s="68"/>
      <x:c r="T42" s="68"/>
    </x:row>
    <x:row r="43" ht="24" customHeight="1">
      <x:c r="A43" s="48" t="str">
        <x:f>IF(F36="","",F36)</x:f>
      </x:c>
      <x:c r="B43" s="55"/>
      <x:c r="C43" s="56"/>
      <x:c r="D43" s="55"/>
      <x:c r="E43" s="56"/>
      <x:c r="F43" s="55" t="str">
        <x:v>Bälle</x:v>
      </x:c>
      <x:c r="G43" s="56" t="str">
        <x:v>Aufn.</x:v>
      </x:c>
      <x:c r="H43" s="61"/>
      <x:c r="I43" s="62"/>
      <x:c r="J43" s="1"/>
      <x:c r="K43" s="1"/>
      <x:c r="L43" s="1"/>
      <x:c r="M43" s="1"/>
      <x:c r="N43" s="66" t="str">
        <x:f>IF(COUNT(H44)=0,"",SUM(H44))</x:f>
      </x:c>
      <x:c r="O43" s="66" t="str">
        <x:f>IF(COUNT(H43)=0,"",SUM(H43))</x:f>
      </x:c>
      <x:c r="P43" s="66" t="str">
        <x:f>IF(COUNT(I43)=0,"",SUM(I43))</x:f>
      </x:c>
      <x:c r="Q43" s="69" t="str">
        <x:f>IF(COUNT(H44)=0,"",MAX(IF(H44=2,H45,0)))</x:f>
      </x:c>
      <x:c r="R43" s="69" t="str">
        <x:f>IF(P43&gt;0,TRUNC(O43/P43,3),"")</x:f>
      </x:c>
      <x:c r="S43" s="66" t="str">
        <x:f>IF(COUNT(I45)=0,"",MAX(I45))</x:f>
      </x:c>
      <x:c r="T43" s="66" t="str">
        <x:f>IF(ISNUMBER(N43),IF(N43=2,1,IF(N43=0,2,"")),"")</x:f>
      </x:c>
    </x:row>
    <x:row r="44" ht="24" customHeight="1">
      <x:c r="A44" s="1"/>
      <x:c r="B44" s="57"/>
      <x:c r="C44" s="58"/>
      <x:c r="D44" s="57"/>
      <x:c r="E44" s="58"/>
      <x:c r="F44" s="57" t="str">
        <x:v>Partiepunkte</x:v>
      </x:c>
      <x:c r="G44" s="58"/>
      <x:c r="H44" s="64" t="str">
        <x:f>IF(AND(ISNUMBER(H43),ISNUMBER(F46),U38&lt;&gt;"",U39&lt;&gt;""),IF(IF(AND(INDEX(Teilnehmer!$F$2:$F$10,MATCH(U38,Teilnehmer!$A$2:$A$10,0))&gt;0,INDEX(Teilnehmer!$F$2:$F$10,MATCH(U39,Teilnehmer!$A$2:$A$10,0))&gt;0),H43/INDEX(Teilnehmer!$F$2:$F$10,MATCH(U38,Teilnehmer!$A$2:$A$10,0)),H43)&gt;IF(AND(INDEX(Teilnehmer!$F$2:$F$10,MATCH(U38,Teilnehmer!$A$2:$A$10,0))&gt;0,INDEX(Teilnehmer!$F$2:$F$10,MATCH(U39,Teilnehmer!$A$2:$A$10,0))&gt;0),F46/INDEX(Teilnehmer!$F$2:$F$10,MATCH(U39,Teilnehmer!$A$2:$A$10,0)),F46),2,IF(IF(AND(INDEX(Teilnehmer!$F$2:$F$10,MATCH(U38,Teilnehmer!$A$2:$A$10,0))&gt;0,INDEX(Teilnehmer!$F$2:$F$10,MATCH(U39,Teilnehmer!$A$2:$A$10,0))&gt;0),H43/INDEX(Teilnehmer!$F$2:$F$10,MATCH(U38,Teilnehmer!$A$2:$A$10,0)),H43)=IF(AND(INDEX(Teilnehmer!$F$2:$F$10,MATCH(U38,Teilnehmer!$A$2:$A$10,0))&gt;0,INDEX(Teilnehmer!$F$2:$F$10,MATCH(U39,Teilnehmer!$A$2:$A$10,0))&gt;0),F46/INDEX(Teilnehmer!$F$2:$F$10,MATCH(U39,Teilnehmer!$A$2:$A$10,0)),F46),1,0)),"")</x:f>
      </x:c>
      <x:c r="I44" s="52"/>
      <x:c r="J44" s="1"/>
      <x:c r="K44" s="1"/>
      <x:c r="L44" s="1"/>
      <x:c r="M44" s="1"/>
      <x:c r="N44" s="67"/>
      <x:c r="O44" s="67"/>
      <x:c r="P44" s="67"/>
      <x:c r="Q44" s="70"/>
      <x:c r="R44" s="70"/>
      <x:c r="S44" s="67"/>
      <x:c r="T44" s="67"/>
    </x:row>
    <x:row r="45" ht="24" customHeight="1">
      <x:c r="A45" s="1"/>
      <x:c r="B45" s="59"/>
      <x:c r="C45" s="60"/>
      <x:c r="D45" s="59"/>
      <x:c r="E45" s="60"/>
      <x:c r="F45" s="59" t="str">
        <x:v>DS</x:v>
      </x:c>
      <x:c r="G45" s="60" t="str">
        <x:v>HS</x:v>
      </x:c>
      <x:c r="H45" s="65" t="str">
        <x:f>IF(AND(ISNUMBER(H43),I43&gt;0),TRUNC(H43/I43,3),"")</x:f>
      </x:c>
      <x:c r="I45" s="63"/>
      <x:c r="J45" s="1"/>
      <x:c r="K45" s="1"/>
      <x:c r="L45" s="1"/>
      <x:c r="M45" s="1"/>
      <x:c r="N45" s="68"/>
      <x:c r="O45" s="68"/>
      <x:c r="P45" s="68"/>
      <x:c r="Q45" s="71"/>
      <x:c r="R45" s="71"/>
      <x:c r="S45" s="68"/>
      <x:c r="T45" s="68"/>
    </x:row>
    <x:row r="46" ht="24" customHeight="1">
      <x:c r="A46" s="48" t="str">
        <x:f>IF(H36="","",H36)</x:f>
      </x:c>
      <x:c r="B46" s="55"/>
      <x:c r="C46" s="56"/>
      <x:c r="D46" s="55"/>
      <x:c r="E46" s="56"/>
      <x:c r="F46" s="61"/>
      <x:c r="G46" s="62" t="str">
        <x:f>IF(ISNUMBER(I43),I43,"")</x:f>
      </x:c>
      <x:c r="H46" s="55" t="str">
        <x:v>Bälle</x:v>
      </x:c>
      <x:c r="I46" s="56" t="str">
        <x:v>Aufn.</x:v>
      </x:c>
      <x:c r="J46" s="1"/>
      <x:c r="K46" s="1"/>
      <x:c r="L46" s="1"/>
      <x:c r="M46" s="1"/>
      <x:c r="N46" s="66" t="str">
        <x:f>IF(COUNT(F47)=0,"",SUM(F47))</x:f>
      </x:c>
      <x:c r="O46" s="66" t="str">
        <x:f>IF(COUNT(F46)=0,"",SUM(F46))</x:f>
      </x:c>
      <x:c r="P46" s="66" t="str">
        <x:f>IF(COUNT(G46)=0,"",SUM(G46))</x:f>
      </x:c>
      <x:c r="Q46" s="69" t="str">
        <x:f>IF(COUNT(F47)=0,"",MAX(IF(F47=2,F48,0)))</x:f>
      </x:c>
      <x:c r="R46" s="69" t="str">
        <x:f>IF(P46&gt;0,TRUNC(O46/P46,3),"")</x:f>
      </x:c>
      <x:c r="S46" s="66" t="str">
        <x:f>IF(COUNT(G48)=0,"",MAX(G48))</x:f>
      </x:c>
      <x:c r="T46" s="66" t="str">
        <x:f>IF(ISNUMBER(N46),IF(N46=2,1,IF(N46=0,2,"")),"")</x:f>
      </x:c>
    </x:row>
    <x:row r="47" ht="24" customHeight="1">
      <x:c r="A47" s="1"/>
      <x:c r="B47" s="57"/>
      <x:c r="C47" s="58"/>
      <x:c r="D47" s="57"/>
      <x:c r="E47" s="58"/>
      <x:c r="F47" s="64" t="str">
        <x:f>IF(AND(ISNUMBER(F46),ISNUMBER(H43),U39&lt;&gt;"",U38&lt;&gt;""),IF(IF(AND(INDEX(Teilnehmer!$F$2:$F$10,MATCH(U39,Teilnehmer!$A$2:$A$10,0))&gt;0,INDEX(Teilnehmer!$F$2:$F$10,MATCH(U38,Teilnehmer!$A$2:$A$10,0))&gt;0),F46/INDEX(Teilnehmer!$F$2:$F$10,MATCH(U39,Teilnehmer!$A$2:$A$10,0)),F46)&gt;IF(AND(INDEX(Teilnehmer!$F$2:$F$10,MATCH(U39,Teilnehmer!$A$2:$A$10,0))&gt;0,INDEX(Teilnehmer!$F$2:$F$10,MATCH(U38,Teilnehmer!$A$2:$A$10,0))&gt;0),H43/INDEX(Teilnehmer!$F$2:$F$10,MATCH(U38,Teilnehmer!$A$2:$A$10,0)),H43),2,IF(IF(AND(INDEX(Teilnehmer!$F$2:$F$10,MATCH(U39,Teilnehmer!$A$2:$A$10,0))&gt;0,INDEX(Teilnehmer!$F$2:$F$10,MATCH(U38,Teilnehmer!$A$2:$A$10,0))&gt;0),F46/INDEX(Teilnehmer!$F$2:$F$10,MATCH(U39,Teilnehmer!$A$2:$A$10,0)),F46)=IF(AND(INDEX(Teilnehmer!$F$2:$F$10,MATCH(U39,Teilnehmer!$A$2:$A$10,0))&gt;0,INDEX(Teilnehmer!$F$2:$F$10,MATCH(U38,Teilnehmer!$A$2:$A$10,0))&gt;0),H43/INDEX(Teilnehmer!$F$2:$F$10,MATCH(U38,Teilnehmer!$A$2:$A$10,0)),H43),1,0)),"")</x:f>
      </x:c>
      <x:c r="G47" s="52"/>
      <x:c r="H47" s="57" t="str">
        <x:v>Partiepunkte</x:v>
      </x:c>
      <x:c r="I47" s="58"/>
      <x:c r="J47" s="1"/>
      <x:c r="K47" s="1"/>
      <x:c r="L47" s="1"/>
      <x:c r="M47" s="1"/>
      <x:c r="N47" s="67"/>
      <x:c r="O47" s="67"/>
      <x:c r="P47" s="67"/>
      <x:c r="Q47" s="70"/>
      <x:c r="R47" s="70"/>
      <x:c r="S47" s="67"/>
      <x:c r="T47" s="67"/>
    </x:row>
    <x:row r="48" ht="24" customHeight="1">
      <x:c r="A48" s="1"/>
      <x:c r="B48" s="59"/>
      <x:c r="C48" s="60"/>
      <x:c r="D48" s="59"/>
      <x:c r="E48" s="60"/>
      <x:c r="F48" s="65" t="str">
        <x:f>IF(AND(ISNUMBER(F46),G46&gt;0),TRUNC(F46/G46,3),"")</x:f>
      </x:c>
      <x:c r="G48" s="63"/>
      <x:c r="H48" s="59" t="str">
        <x:v>DS</x:v>
      </x:c>
      <x:c r="I48" s="60" t="str">
        <x:v>HS</x:v>
      </x:c>
      <x:c r="J48" s="1"/>
      <x:c r="K48" s="1"/>
      <x:c r="L48" s="1"/>
      <x:c r="M48" s="1"/>
      <x:c r="N48" s="68"/>
      <x:c r="O48" s="68"/>
      <x:c r="P48" s="68"/>
      <x:c r="Q48" s="71"/>
      <x:c r="R48" s="71"/>
      <x:c r="S48" s="68"/>
      <x:c r="T48" s="68"/>
    </x:row>
    <x:row r="49" ht="24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</x:row>
    <x:row r="50" ht="24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</x:row>
    <x:row r="51" ht="24" customHeight="1">
      <x:c r="A51" s="1" t="str">
        <x:v>Grün: Ergebnisse. Bei K.O.-Verlängerung Partiepunkte im Tableau auf 2/0 setzen. Grau: keine Begegnung.</x:v>
      </x:c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</x:row>
    <x:row r="52" ht="24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</x:row>
    <x:row r="53" ht="24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</x:row>
    <x:row r="54" ht="24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</x:row>
    <x:row r="55" ht="24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</x:row>
    <x:row r="56" ht="24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</x:row>
    <x:row r="57" ht="24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</x:row>
    <x:row r="58" ht="24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</x:row>
    <x:row r="59" ht="24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</x:row>
    <x:row r="60" ht="24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</x:row>
    <x:row r="61" ht="24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</x:row>
    <x:row r="62" ht="24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</x:row>
    <x:row r="63" ht="24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</x:row>
    <x:row r="64" ht="24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</x:row>
    <x:row r="65" ht="24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</x:row>
  </x:sheetData>
  <x:mergeCells>
    <x:mergeCell ref="D1:P1"/>
    <x:mergeCell ref="S2:T2"/>
    <x:mergeCell ref="A3:T3"/>
    <x:mergeCell ref="B4:C4"/>
    <x:mergeCell ref="A5:A7"/>
    <x:mergeCell ref="B6:C6"/>
    <x:mergeCell ref="D6:E6"/>
    <x:mergeCell ref="F6:G6"/>
    <x:mergeCell ref="H6:I6"/>
    <x:mergeCell ref="N5:N7"/>
    <x:mergeCell ref="O5:O7"/>
    <x:mergeCell ref="P5:P7"/>
    <x:mergeCell ref="Q5:Q7"/>
    <x:mergeCell ref="R5:R7"/>
    <x:mergeCell ref="S5:S7"/>
    <x:mergeCell ref="T5:T7"/>
    <x:mergeCell ref="D4:E4"/>
    <x:mergeCell ref="A8:A10"/>
    <x:mergeCell ref="B9:C9"/>
    <x:mergeCell ref="D9:E9"/>
    <x:mergeCell ref="F9:G9"/>
    <x:mergeCell ref="H9:I9"/>
    <x:mergeCell ref="N8:N10"/>
    <x:mergeCell ref="O8:O10"/>
    <x:mergeCell ref="P8:P10"/>
    <x:mergeCell ref="Q8:Q10"/>
    <x:mergeCell ref="R8:R10"/>
    <x:mergeCell ref="S8:S10"/>
    <x:mergeCell ref="T8:T10"/>
    <x:mergeCell ref="F4:G4"/>
    <x:mergeCell ref="A11:A13"/>
    <x:mergeCell ref="B12:C12"/>
    <x:mergeCell ref="D12:E12"/>
    <x:mergeCell ref="F12:G12"/>
    <x:mergeCell ref="H12:I12"/>
    <x:mergeCell ref="N11:N13"/>
    <x:mergeCell ref="O11:O13"/>
    <x:mergeCell ref="P11:P13"/>
    <x:mergeCell ref="Q11:Q13"/>
    <x:mergeCell ref="R11:R13"/>
    <x:mergeCell ref="S11:S13"/>
    <x:mergeCell ref="T11:T13"/>
    <x:mergeCell ref="H4:I4"/>
    <x:mergeCell ref="A14:A16"/>
    <x:mergeCell ref="B15:C15"/>
    <x:mergeCell ref="D15:E15"/>
    <x:mergeCell ref="F15:G15"/>
    <x:mergeCell ref="H15:I15"/>
    <x:mergeCell ref="N14:N16"/>
    <x:mergeCell ref="O14:O16"/>
    <x:mergeCell ref="P14:P16"/>
    <x:mergeCell ref="Q14:Q16"/>
    <x:mergeCell ref="R14:R16"/>
    <x:mergeCell ref="S14:S16"/>
    <x:mergeCell ref="T14:T16"/>
    <x:mergeCell ref="A19:T19"/>
    <x:mergeCell ref="B20:C20"/>
    <x:mergeCell ref="A21:A23"/>
    <x:mergeCell ref="B22:C22"/>
    <x:mergeCell ref="D22:E22"/>
    <x:mergeCell ref="F22:G22"/>
    <x:mergeCell ref="H22:I22"/>
    <x:mergeCell ref="N21:N23"/>
    <x:mergeCell ref="O21:O23"/>
    <x:mergeCell ref="P21:P23"/>
    <x:mergeCell ref="Q21:Q23"/>
    <x:mergeCell ref="R21:R23"/>
    <x:mergeCell ref="S21:S23"/>
    <x:mergeCell ref="T21:T23"/>
    <x:mergeCell ref="D20:E20"/>
    <x:mergeCell ref="A24:A26"/>
    <x:mergeCell ref="B25:C25"/>
    <x:mergeCell ref="D25:E25"/>
    <x:mergeCell ref="F25:G25"/>
    <x:mergeCell ref="H25:I25"/>
    <x:mergeCell ref="N24:N26"/>
    <x:mergeCell ref="O24:O26"/>
    <x:mergeCell ref="P24:P26"/>
    <x:mergeCell ref="Q24:Q26"/>
    <x:mergeCell ref="R24:R26"/>
    <x:mergeCell ref="S24:S26"/>
    <x:mergeCell ref="T24:T26"/>
    <x:mergeCell ref="F20:G20"/>
    <x:mergeCell ref="A27:A29"/>
    <x:mergeCell ref="B28:C28"/>
    <x:mergeCell ref="D28:E28"/>
    <x:mergeCell ref="F28:G28"/>
    <x:mergeCell ref="H28:I28"/>
    <x:mergeCell ref="N27:N29"/>
    <x:mergeCell ref="O27:O29"/>
    <x:mergeCell ref="P27:P29"/>
    <x:mergeCell ref="Q27:Q29"/>
    <x:mergeCell ref="R27:R29"/>
    <x:mergeCell ref="S27:S29"/>
    <x:mergeCell ref="T27:T29"/>
    <x:mergeCell ref="H20:I20"/>
    <x:mergeCell ref="A30:A32"/>
    <x:mergeCell ref="B31:C31"/>
    <x:mergeCell ref="D31:E31"/>
    <x:mergeCell ref="F31:G31"/>
    <x:mergeCell ref="H31:I31"/>
    <x:mergeCell ref="N30:N32"/>
    <x:mergeCell ref="O30:O32"/>
    <x:mergeCell ref="P30:P32"/>
    <x:mergeCell ref="Q30:Q32"/>
    <x:mergeCell ref="R30:R32"/>
    <x:mergeCell ref="S30:S32"/>
    <x:mergeCell ref="T30:T32"/>
    <x:mergeCell ref="A35:T35"/>
    <x:mergeCell ref="B36:C36"/>
    <x:mergeCell ref="A37:A39"/>
    <x:mergeCell ref="B38:C38"/>
    <x:mergeCell ref="D38:E38"/>
    <x:mergeCell ref="F38:G38"/>
    <x:mergeCell ref="H38:I38"/>
    <x:mergeCell ref="N37:N39"/>
    <x:mergeCell ref="O37:O39"/>
    <x:mergeCell ref="P37:P39"/>
    <x:mergeCell ref="Q37:Q39"/>
    <x:mergeCell ref="R37:R39"/>
    <x:mergeCell ref="S37:S39"/>
    <x:mergeCell ref="T37:T39"/>
    <x:mergeCell ref="D36:E36"/>
    <x:mergeCell ref="A40:A42"/>
    <x:mergeCell ref="B41:C41"/>
    <x:mergeCell ref="D41:E41"/>
    <x:mergeCell ref="F41:G41"/>
    <x:mergeCell ref="H41:I41"/>
    <x:mergeCell ref="N40:N42"/>
    <x:mergeCell ref="O40:O42"/>
    <x:mergeCell ref="P40:P42"/>
    <x:mergeCell ref="Q40:Q42"/>
    <x:mergeCell ref="R40:R42"/>
    <x:mergeCell ref="S40:S42"/>
    <x:mergeCell ref="T40:T42"/>
    <x:mergeCell ref="F36:G36"/>
    <x:mergeCell ref="A43:A45"/>
    <x:mergeCell ref="B44:C44"/>
    <x:mergeCell ref="D44:E44"/>
    <x:mergeCell ref="F44:G44"/>
    <x:mergeCell ref="H44:I44"/>
    <x:mergeCell ref="N43:N45"/>
    <x:mergeCell ref="O43:O45"/>
    <x:mergeCell ref="P43:P45"/>
    <x:mergeCell ref="Q43:Q45"/>
    <x:mergeCell ref="R43:R45"/>
    <x:mergeCell ref="S43:S45"/>
    <x:mergeCell ref="T43:T45"/>
    <x:mergeCell ref="H36:I36"/>
    <x:mergeCell ref="A46:A48"/>
    <x:mergeCell ref="B47:C47"/>
    <x:mergeCell ref="D47:E47"/>
    <x:mergeCell ref="F47:G47"/>
    <x:mergeCell ref="H47:I47"/>
    <x:mergeCell ref="N46:N48"/>
    <x:mergeCell ref="O46:O48"/>
    <x:mergeCell ref="P46:P48"/>
    <x:mergeCell ref="Q46:Q48"/>
    <x:mergeCell ref="R46:R48"/>
    <x:mergeCell ref="S46:S48"/>
    <x:mergeCell ref="T46:T48"/>
    <x:mergeCell ref="A51:T51"/>
  </x:mergeCells>
  <x:pageMargins left="0.2" right="0.2" top="0.3" bottom="0.3" header="0.1" footer="0.1"/>
  <x:pageSetup paperSize="9" orientation="landscape" fitToWidth="1" fitToHeight="0"/>
  <x:rowBreaks count="2" manualBreakCount="2">
    <x:brk id="18" min="0" max="16383" man="1"/>
    <x:brk id="34" min="0" max="16383" man="1"/>
  </x:rowBreaks>
</x:worksheet>
</file>

<file path=xl/worksheets/sheet4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defaultRowHeight="15"/>
  <x:cols>
    <x:col min="1" max="1" width="13" hidden="0" customWidth="1"/>
    <x:col min="2" max="2" width="28" hidden="0" customWidth="1"/>
    <x:col min="3" max="3" width="13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</x:cols>
  <x:sheetData>
    <x:row r="1" ht="40" customHeight="1">
      <x:c r="A1" s="9" t="str">
        <x:v>Setzposition</x:v>
      </x:c>
      <x:c r="B1" s="9" t="str">
        <x:v>Spieler</x:v>
      </x:c>
      <x:c r="C1" s="9" t="str">
        <x:v>Passnummer</x:v>
      </x:c>
      <x:c r="D1" s="9" t="str">
        <x:v>Verein</x:v>
      </x:c>
      <x:c r="E1" s="9" t="str">
        <x:v>GD Setzliste</x:v>
      </x:c>
      <x:c r="F1" s="9" t="str">
        <x:v>Ballvorgabe</x:v>
      </x:c>
      <x:c r="G1" s="9" t="str">
        <x:v>Gruppe</x:v>
      </x:c>
      <x:c r="H1" s="9" t="str">
        <x:v>Pos.</x:v>
      </x:c>
      <x:c r="I1" s="9" t="str">
        <x:v>Partiepunkte</x:v>
      </x:c>
      <x:c r="J1" s="9" t="str">
        <x:v>Bälle</x:v>
      </x:c>
      <x:c r="K1" s="9" t="str">
        <x:v>Aufnahmen</x:v>
      </x:c>
      <x:c r="L1" s="9" t="str">
        <x:v>GD</x:v>
      </x:c>
      <x:c r="M1" s="9" t="str">
        <x:v>HS</x:v>
      </x:c>
      <x:c r="N1" s="9" t="str">
        <x:v>Rang</x:v>
      </x:c>
      <x:c r="O1" s="9" t="str">
        <x:v>Rang manuell</x:v>
      </x:c>
      <x:c r="P1" s="9" t="str">
        <x:v>Gruppenplatz</x:v>
      </x:c>
      <x:c r="Q1" s="2"/>
      <x:c r="R1" s="2"/>
      <x:c r="S1" s="2"/>
      <x:c r="T1" s="2"/>
    </x:row>
    <x:row r="2" ht="24" customHeight="1">
      <x:c r="A2" s="2" t="n">
        <x:v>1</x:v>
      </x:c>
      <x:c r="B2" s="3" t="str"/>
      <x:c r="C2" s="3" t="str"/>
      <x:c r="D2" s="3" t="str"/>
      <x:c r="E2" s="38"/>
      <x:c r="F2" s="3"/>
      <x:c r="G2" s="2" t="str">
        <x:v>A</x:v>
      </x:c>
      <x:c r="H2" s="2" t="n">
        <x:v>1</x:v>
      </x:c>
      <x:c r="I2" s="2" t="str">
        <x:f>IF(ISNUMBER('Gruppe A'!N4),'Gruppe A'!N4,"")</x:f>
      </x:c>
      <x:c r="J2" s="2" t="str">
        <x:f>IF(ISNUMBER('Gruppe A'!O4),'Gruppe A'!O4,"")</x:f>
      </x:c>
      <x:c r="K2" s="2" t="str">
        <x:f>IF(ISNUMBER('Gruppe A'!P4),'Gruppe A'!P4,"")</x:f>
      </x:c>
      <x:c r="L2" s="39" t="str">
        <x:f>IF(ISNUMBER('Gruppe A'!R4),'Gruppe A'!R4,"")</x:f>
      </x:c>
      <x:c r="M2" s="2" t="str">
        <x:f>IF(ISNUMBER('Gruppe A'!S4),'Gruppe A'!S4,"")</x:f>
      </x:c>
      <x:c r="N2" s="2" t="str">
        <x:f>IF(ISNUMBER('Gruppe A'!T4),'Gruppe A'!T4,"")</x:f>
      </x:c>
      <x:c r="O2" s="3"/>
      <x:c r="P2" s="2" t="str">
        <x:f>IF(ISNUMBER(N2),G2&amp;N2,"")</x:f>
      </x:c>
      <x:c r="Q2" s="2"/>
      <x:c r="R2" s="2"/>
      <x:c r="S2" s="2"/>
      <x:c r="T2" s="2"/>
    </x:row>
    <x:row r="3" ht="24" customHeight="1">
      <x:c r="A3" s="2" t="n">
        <x:v>2</x:v>
      </x:c>
      <x:c r="B3" s="3" t="str"/>
      <x:c r="C3" s="3" t="str"/>
      <x:c r="D3" s="3" t="str"/>
      <x:c r="E3" s="38"/>
      <x:c r="F3" s="3"/>
      <x:c r="G3" s="2" t="str">
        <x:v>B</x:v>
      </x:c>
      <x:c r="H3" s="2" t="n">
        <x:v>1</x:v>
      </x:c>
      <x:c r="I3" s="2" t="str">
        <x:f>IF(ISNUMBER('Gruppe B'!N4),'Gruppe B'!N4,"")</x:f>
      </x:c>
      <x:c r="J3" s="2" t="str">
        <x:f>IF(ISNUMBER('Gruppe B'!O4),'Gruppe B'!O4,"")</x:f>
      </x:c>
      <x:c r="K3" s="2" t="str">
        <x:f>IF(ISNUMBER('Gruppe B'!P4),'Gruppe B'!P4,"")</x:f>
      </x:c>
      <x:c r="L3" s="39" t="str">
        <x:f>IF(ISNUMBER('Gruppe B'!R4),'Gruppe B'!R4,"")</x:f>
      </x:c>
      <x:c r="M3" s="2" t="str">
        <x:f>IF(ISNUMBER('Gruppe B'!S4),'Gruppe B'!S4,"")</x:f>
      </x:c>
      <x:c r="N3" s="2" t="str">
        <x:f>IF(ISNUMBER('Gruppe B'!T4),'Gruppe B'!T4,"")</x:f>
      </x:c>
      <x:c r="O3" s="3"/>
      <x:c r="P3" s="2" t="str">
        <x:f>IF(ISNUMBER(N3),G3&amp;N3,"")</x:f>
      </x:c>
      <x:c r="Q3" s="2"/>
      <x:c r="R3" s="2"/>
      <x:c r="S3" s="2"/>
      <x:c r="T3" s="2"/>
    </x:row>
    <x:row r="4" ht="24" customHeight="1">
      <x:c r="A4" s="2" t="n">
        <x:v>3</x:v>
      </x:c>
      <x:c r="B4" s="3" t="str"/>
      <x:c r="C4" s="3" t="str"/>
      <x:c r="D4" s="3" t="str"/>
      <x:c r="E4" s="38"/>
      <x:c r="F4" s="3"/>
      <x:c r="G4" s="2" t="str">
        <x:v>B</x:v>
      </x:c>
      <x:c r="H4" s="2" t="n">
        <x:v>2</x:v>
      </x:c>
      <x:c r="I4" s="2" t="str">
        <x:f>IF(ISNUMBER('Gruppe B'!N7),'Gruppe B'!N7,"")</x:f>
      </x:c>
      <x:c r="J4" s="2" t="str">
        <x:f>IF(ISNUMBER('Gruppe B'!O7),'Gruppe B'!O7,"")</x:f>
      </x:c>
      <x:c r="K4" s="2" t="str">
        <x:f>IF(ISNUMBER('Gruppe B'!P7),'Gruppe B'!P7,"")</x:f>
      </x:c>
      <x:c r="L4" s="39" t="str">
        <x:f>IF(ISNUMBER('Gruppe B'!R7),'Gruppe B'!R7,"")</x:f>
      </x:c>
      <x:c r="M4" s="2" t="str">
        <x:f>IF(ISNUMBER('Gruppe B'!S7),'Gruppe B'!S7,"")</x:f>
      </x:c>
      <x:c r="N4" s="2" t="str">
        <x:f>IF(ISNUMBER('Gruppe B'!T7),'Gruppe B'!T7,"")</x:f>
      </x:c>
      <x:c r="O4" s="3"/>
      <x:c r="P4" s="2" t="str">
        <x:f>IF(ISNUMBER(N4),G4&amp;N4,"")</x:f>
      </x:c>
      <x:c r="Q4" s="2"/>
      <x:c r="R4" s="2"/>
      <x:c r="S4" s="2"/>
      <x:c r="T4" s="2"/>
    </x:row>
    <x:row r="5" ht="24" customHeight="1">
      <x:c r="A5" s="2" t="n">
        <x:v>4</x:v>
      </x:c>
      <x:c r="B5" s="3" t="str"/>
      <x:c r="C5" s="3" t="str"/>
      <x:c r="D5" s="3" t="str"/>
      <x:c r="E5" s="38"/>
      <x:c r="F5" s="3"/>
      <x:c r="G5" s="2" t="str">
        <x:v>A</x:v>
      </x:c>
      <x:c r="H5" s="2" t="n">
        <x:v>2</x:v>
      </x:c>
      <x:c r="I5" s="2" t="str">
        <x:f>IF(ISNUMBER('Gruppe A'!N7),'Gruppe A'!N7,"")</x:f>
      </x:c>
      <x:c r="J5" s="2" t="str">
        <x:f>IF(ISNUMBER('Gruppe A'!O7),'Gruppe A'!O7,"")</x:f>
      </x:c>
      <x:c r="K5" s="2" t="str">
        <x:f>IF(ISNUMBER('Gruppe A'!P7),'Gruppe A'!P7,"")</x:f>
      </x:c>
      <x:c r="L5" s="39" t="str">
        <x:f>IF(ISNUMBER('Gruppe A'!R7),'Gruppe A'!R7,"")</x:f>
      </x:c>
      <x:c r="M5" s="2" t="str">
        <x:f>IF(ISNUMBER('Gruppe A'!S7),'Gruppe A'!S7,"")</x:f>
      </x:c>
      <x:c r="N5" s="2" t="str">
        <x:f>IF(ISNUMBER('Gruppe A'!T7),'Gruppe A'!T7,"")</x:f>
      </x:c>
      <x:c r="O5" s="3"/>
      <x:c r="P5" s="2" t="str">
        <x:f>IF(ISNUMBER(N5),G5&amp;N5,"")</x:f>
      </x:c>
      <x:c r="Q5" s="2"/>
      <x:c r="R5" s="2"/>
      <x:c r="S5" s="2"/>
      <x:c r="T5" s="2"/>
    </x:row>
    <x:row r="6" ht="24" customHeight="1">
      <x:c r="A6" s="2" t="n">
        <x:v>5</x:v>
      </x:c>
      <x:c r="B6" s="3" t="str"/>
      <x:c r="C6" s="3" t="str"/>
      <x:c r="D6" s="3" t="str"/>
      <x:c r="E6" s="38"/>
      <x:c r="F6" s="3"/>
      <x:c r="G6" s="2" t="str">
        <x:v>A</x:v>
      </x:c>
      <x:c r="H6" s="2" t="n">
        <x:v>3</x:v>
      </x:c>
      <x:c r="I6" s="2" t="str">
        <x:f>IF(ISNUMBER('Gruppe A'!N10),'Gruppe A'!N10,"")</x:f>
      </x:c>
      <x:c r="J6" s="2" t="str">
        <x:f>IF(ISNUMBER('Gruppe A'!O10),'Gruppe A'!O10,"")</x:f>
      </x:c>
      <x:c r="K6" s="2" t="str">
        <x:f>IF(ISNUMBER('Gruppe A'!P10),'Gruppe A'!P10,"")</x:f>
      </x:c>
      <x:c r="L6" s="39" t="str">
        <x:f>IF(ISNUMBER('Gruppe A'!R10),'Gruppe A'!R10,"")</x:f>
      </x:c>
      <x:c r="M6" s="2" t="str">
        <x:f>IF(ISNUMBER('Gruppe A'!S10),'Gruppe A'!S10,"")</x:f>
      </x:c>
      <x:c r="N6" s="2" t="str">
        <x:f>IF(ISNUMBER('Gruppe A'!T10),'Gruppe A'!T10,"")</x:f>
      </x:c>
      <x:c r="O6" s="3"/>
      <x:c r="P6" s="2" t="str">
        <x:f>IF(ISNUMBER(N6),G6&amp;N6,"")</x:f>
      </x:c>
      <x:c r="Q6" s="2"/>
      <x:c r="R6" s="2"/>
      <x:c r="S6" s="2"/>
      <x:c r="T6" s="2"/>
    </x:row>
    <x:row r="7" ht="24" customHeight="1">
      <x:c r="A7" s="2" t="n">
        <x:v>6</x:v>
      </x:c>
      <x:c r="B7" s="3" t="str"/>
      <x:c r="C7" s="3" t="str"/>
      <x:c r="D7" s="3" t="str"/>
      <x:c r="E7" s="38"/>
      <x:c r="F7" s="3"/>
      <x:c r="G7" s="2" t="str">
        <x:v>B</x:v>
      </x:c>
      <x:c r="H7" s="2" t="n">
        <x:v>3</x:v>
      </x:c>
      <x:c r="I7" s="2" t="str">
        <x:f>IF(ISNUMBER('Gruppe B'!N10),'Gruppe B'!N10,"")</x:f>
      </x:c>
      <x:c r="J7" s="2" t="str">
        <x:f>IF(ISNUMBER('Gruppe B'!O10),'Gruppe B'!O10,"")</x:f>
      </x:c>
      <x:c r="K7" s="2" t="str">
        <x:f>IF(ISNUMBER('Gruppe B'!P10),'Gruppe B'!P10,"")</x:f>
      </x:c>
      <x:c r="L7" s="39" t="str">
        <x:f>IF(ISNUMBER('Gruppe B'!R10),'Gruppe B'!R10,"")</x:f>
      </x:c>
      <x:c r="M7" s="2" t="str">
        <x:f>IF(ISNUMBER('Gruppe B'!S10),'Gruppe B'!S10,"")</x:f>
      </x:c>
      <x:c r="N7" s="2" t="str">
        <x:f>IF(ISNUMBER('Gruppe B'!T10),'Gruppe B'!T10,"")</x:f>
      </x:c>
      <x:c r="O7" s="3"/>
      <x:c r="P7" s="2" t="str">
        <x:f>IF(ISNUMBER(N7),G7&amp;N7,"")</x:f>
      </x:c>
      <x:c r="Q7" s="2"/>
      <x:c r="R7" s="2"/>
      <x:c r="S7" s="2"/>
      <x:c r="T7" s="2"/>
    </x:row>
    <x:row r="8" ht="24" customHeight="1">
      <x:c r="A8" s="2" t="n">
        <x:v>7</x:v>
      </x:c>
      <x:c r="B8" s="3" t="str"/>
      <x:c r="C8" s="3" t="str"/>
      <x:c r="D8" s="3" t="str"/>
      <x:c r="E8" s="38"/>
      <x:c r="F8" s="3"/>
      <x:c r="G8" s="2" t="str">
        <x:v>B</x:v>
      </x:c>
      <x:c r="H8" s="2" t="n">
        <x:v>4</x:v>
      </x:c>
      <x:c r="I8" s="2" t="str">
        <x:f>IF(ISNUMBER('Gruppe B'!N13),'Gruppe B'!N13,"")</x:f>
      </x:c>
      <x:c r="J8" s="2" t="str">
        <x:f>IF(ISNUMBER('Gruppe B'!O13),'Gruppe B'!O13,"")</x:f>
      </x:c>
      <x:c r="K8" s="2" t="str">
        <x:f>IF(ISNUMBER('Gruppe B'!P13),'Gruppe B'!P13,"")</x:f>
      </x:c>
      <x:c r="L8" s="39" t="str">
        <x:f>IF(ISNUMBER('Gruppe B'!R13),'Gruppe B'!R13,"")</x:f>
      </x:c>
      <x:c r="M8" s="2" t="str">
        <x:f>IF(ISNUMBER('Gruppe B'!S13),'Gruppe B'!S13,"")</x:f>
      </x:c>
      <x:c r="N8" s="2" t="str">
        <x:f>IF(ISNUMBER('Gruppe B'!T13),'Gruppe B'!T13,"")</x:f>
      </x:c>
      <x:c r="O8" s="3"/>
      <x:c r="P8" s="2" t="str">
        <x:f>IF(ISNUMBER(N8),G8&amp;N8,"")</x:f>
      </x:c>
      <x:c r="Q8" s="2"/>
      <x:c r="R8" s="2"/>
      <x:c r="S8" s="2"/>
      <x:c r="T8" s="2"/>
    </x:row>
    <x:row r="9" ht="24" customHeight="1">
      <x:c r="A9" s="2" t="n">
        <x:v>8</x:v>
      </x:c>
      <x:c r="B9" s="3" t="str"/>
      <x:c r="C9" s="3" t="str"/>
      <x:c r="D9" s="3" t="str"/>
      <x:c r="E9" s="38"/>
      <x:c r="F9" s="3"/>
      <x:c r="G9" s="2" t="str">
        <x:v>A</x:v>
      </x:c>
      <x:c r="H9" s="2" t="n">
        <x:v>4</x:v>
      </x:c>
      <x:c r="I9" s="2" t="str">
        <x:f>IF(ISNUMBER('Gruppe A'!N13),'Gruppe A'!N13,"")</x:f>
      </x:c>
      <x:c r="J9" s="2" t="str">
        <x:f>IF(ISNUMBER('Gruppe A'!O13),'Gruppe A'!O13,"")</x:f>
      </x:c>
      <x:c r="K9" s="2" t="str">
        <x:f>IF(ISNUMBER('Gruppe A'!P13),'Gruppe A'!P13,"")</x:f>
      </x:c>
      <x:c r="L9" s="39" t="str">
        <x:f>IF(ISNUMBER('Gruppe A'!R13),'Gruppe A'!R13,"")</x:f>
      </x:c>
      <x:c r="M9" s="2" t="str">
        <x:f>IF(ISNUMBER('Gruppe A'!S13),'Gruppe A'!S13,"")</x:f>
      </x:c>
      <x:c r="N9" s="2" t="str">
        <x:f>IF(ISNUMBER('Gruppe A'!T13),'Gruppe A'!T13,"")</x:f>
      </x:c>
      <x:c r="O9" s="3"/>
      <x:c r="P9" s="2" t="str">
        <x:f>IF(ISNUMBER(N9),G9&amp;N9,"")</x:f>
      </x:c>
      <x:c r="Q9" s="2"/>
      <x:c r="R9" s="2"/>
      <x:c r="S9" s="2"/>
      <x:c r="T9" s="2"/>
    </x:row>
    <x:row r="10" ht="24" customHeight="1">
      <x:c r="A10" s="2" t="n">
        <x:v>9</x:v>
      </x:c>
      <x:c r="B10" s="3" t="str"/>
      <x:c r="C10" s="3" t="str"/>
      <x:c r="D10" s="3" t="str"/>
      <x:c r="E10" s="38"/>
      <x:c r="F10" s="3"/>
      <x:c r="G10" s="2" t="str">
        <x:v>B</x:v>
      </x:c>
      <x:c r="H10" s="2" t="n">
        <x:v>5</x:v>
      </x:c>
      <x:c r="I10" s="2" t="str">
        <x:f>IF(ISNUMBER('Gruppe B'!N16),'Gruppe B'!N16,"")</x:f>
      </x:c>
      <x:c r="J10" s="2" t="str">
        <x:f>IF(ISNUMBER('Gruppe B'!O16),'Gruppe B'!O16,"")</x:f>
      </x:c>
      <x:c r="K10" s="2" t="str">
        <x:f>IF(ISNUMBER('Gruppe B'!P16),'Gruppe B'!P16,"")</x:f>
      </x:c>
      <x:c r="L10" s="39" t="str">
        <x:f>IF(ISNUMBER('Gruppe B'!R16),'Gruppe B'!R16,"")</x:f>
      </x:c>
      <x:c r="M10" s="2" t="str">
        <x:f>IF(ISNUMBER('Gruppe B'!S16),'Gruppe B'!S16,"")</x:f>
      </x:c>
      <x:c r="N10" s="2" t="str">
        <x:f>IF(ISNUMBER('Gruppe B'!T16),'Gruppe B'!T16,"")</x:f>
      </x:c>
      <x:c r="O10" s="3"/>
      <x:c r="P10" s="2" t="str">
        <x:f>IF(ISNUMBER(N10),G10&amp;N10,"")</x:f>
      </x:c>
      <x:c r="Q10" s="2"/>
      <x:c r="R10" s="2"/>
      <x:c r="S10" s="2"/>
      <x:c r="T10" s="2"/>
    </x:row>
    <x:row r="11" ht="24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</x:row>
    <x:row r="12" ht="24" customHeight="1">
      <x:c r="A12" s="2" t="str">
        <x:v>Rang: Partiepunkte, dann GD. Direkten Vergleich/BED und Vorgabewertung bei Bedarf prüfen und Rang manuell festlegen.</x:v>
      </x:c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</x:row>
    <x:row r="13" ht="24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</x:row>
    <x:row r="14" ht="24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</x:row>
    <x:row r="15" ht="24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</x:row>
    <x:row r="16" ht="24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</x:row>
    <x:row r="17" ht="24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</x:row>
    <x:row r="18" ht="24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</x:row>
    <x:row r="19" ht="24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</x:row>
    <x:row r="20" ht="24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</x:row>
    <x:row r="21" ht="24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</x:row>
    <x:row r="22" ht="24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</x:row>
    <x:row r="23" ht="24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</x:row>
    <x:row r="24" ht="24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</x:row>
    <x:row r="25" ht="24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</x:row>
    <x:row r="26" ht="24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</x:row>
    <x:row r="27" ht="24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</x:row>
    <x:row r="28" ht="24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</x:row>
    <x:row r="29" ht="24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</x:row>
    <x:row r="35" ht="24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</x:row>
    <x:row r="39" ht="24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</x:row>
    <x:row r="41" ht="24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</x:row>
  </x:sheetData>
  <x:mergeCells>
    <x:mergeCell ref="A12:P12"/>
  </x:mergeCells>
  <x:pageMargins left="0.2" right="0.2" top="0.3" bottom="0.3" header="0.1" footer="0.1"/>
  <x:pageSetup paperSize="9" orientation="landscape" fitToWidth="1" fitToHeight="1"/>
</x:worksheet>
</file>

<file path=xl/worksheets/sheet5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</x:cols>
  <x:sheetData>
    <x:row r="1" ht="44" customHeight="1">
      <x:c r="A1" s="9" t="str">
        <x:v>GRUPPE/RUNDE</x:v>
      </x:c>
      <x:c r="B1" s="9" t="str">
        <x:v>PARTIE</x:v>
      </x:c>
      <x:c r="C1" s="9" t="str">
        <x:v>SATZ-NR.</x:v>
      </x:c>
      <x:c r="D1" s="9" t="str">
        <x:v>PASS-NR. SPIELER 1</x:v>
      </x:c>
      <x:c r="E1" s="9" t="str">
        <x:v>PASS-NR. SPIELER 2</x:v>
      </x:c>
      <x:c r="F1" s="9" t="str">
        <x:v>PUNKTE SPIELER 1</x:v>
      </x:c>
      <x:c r="G1" s="9" t="str">
        <x:v>PUNKTE SPIELER 2</x:v>
      </x:c>
      <x:c r="H1" s="9" t="str">
        <x:v>AUFNAHMEN SPIELER 1</x:v>
      </x:c>
      <x:c r="I1" s="9" t="str">
        <x:v>AUFNAHMEN SPIELER 2</x:v>
      </x:c>
      <x:c r="J1" s="9" t="str">
        <x:v>HÖCHSTSERIE SPIELER 1</x:v>
      </x:c>
      <x:c r="K1" s="9" t="str">
        <x:v>HÖCHSTSERIE SPIELER 2</x:v>
      </x:c>
      <x:c r="L1" s="9" t="str">
        <x:v>DATUM</x:v>
      </x:c>
      <x:c r="M1" s="9" t="str">
        <x:v>UHRZEIT</x:v>
      </x:c>
      <x:c r="N1" s="2"/>
      <x:c r="O1" s="2"/>
      <x:c r="P1" s="2"/>
      <x:c r="Q1" s="2"/>
      <x:c r="R1" s="2"/>
      <x:c r="S1" s="2"/>
      <x:c r="T1" s="2"/>
    </x:row>
    <x:row r="2" ht="24" customHeight="1">
      <x:c r="A2" s="2" t="str">
        <x:v>Gruppe A</x:v>
      </x:c>
      <x:c r="B2" s="2" t="n">
        <x:v>1</x:v>
      </x:c>
      <x:c r="C2" s="2" t="n">
        <x:v>1</x:v>
      </x:c>
      <x:c r="D2" s="2" t="str">
        <x:f>IF(Teilnehmer!C2="","",Teilnehmer!C2)</x:f>
      </x:c>
      <x:c r="E2" s="2" t="str">
        <x:f>IF(Teilnehmer!C5="","",Teilnehmer!C5)</x:f>
      </x:c>
      <x:c r="F2" s="2" t="str">
        <x:f>IF(ISNUMBER('Gruppe A'!D4),'Gruppe A'!D4,"")</x:f>
      </x:c>
      <x:c r="G2" s="2" t="str">
        <x:f>IF(ISNUMBER('Gruppe A'!B7),'Gruppe A'!B7,"")</x:f>
      </x:c>
      <x:c r="H2" s="2" t="str">
        <x:f>IF(ISNUMBER('Gruppe A'!E4),'Gruppe A'!E4,"")</x:f>
      </x:c>
      <x:c r="I2" s="2" t="str">
        <x:f>IF(ISNUMBER('Gruppe A'!C7),'Gruppe A'!C7,"")</x:f>
      </x:c>
      <x:c r="J2" s="2" t="str">
        <x:f>IF(ISNUMBER('Gruppe A'!E6),'Gruppe A'!E6,"")</x:f>
      </x:c>
      <x:c r="K2" s="2" t="str">
        <x:f>IF(ISNUMBER('Gruppe A'!C9),'Gruppe A'!C9,"")</x:f>
      </x:c>
      <x:c r="L2" s="6" t="str">
        <x:f>IF(ISNUMBER('Gruppe A'!S2),'Gruppe A'!S2,"")</x:f>
      </x:c>
      <x:c r="M2" s="2"/>
      <x:c r="N2" s="2"/>
      <x:c r="O2" s="2"/>
      <x:c r="P2" s="2"/>
      <x:c r="Q2" s="2"/>
      <x:c r="R2" s="2"/>
      <x:c r="S2" s="2"/>
      <x:c r="T2" s="2"/>
    </x:row>
    <x:row r="3" ht="24" customHeight="1">
      <x:c r="A3" s="2" t="str">
        <x:v>Gruppe A</x:v>
      </x:c>
      <x:c r="B3" s="2" t="n">
        <x:v>2</x:v>
      </x:c>
      <x:c r="C3" s="2" t="n">
        <x:v>1</x:v>
      </x:c>
      <x:c r="D3" s="2" t="str">
        <x:f>IF(Teilnehmer!C2="","",Teilnehmer!C2)</x:f>
      </x:c>
      <x:c r="E3" s="2" t="str">
        <x:f>IF(Teilnehmer!C6="","",Teilnehmer!C6)</x:f>
      </x:c>
      <x:c r="F3" s="2" t="str">
        <x:f>IF(ISNUMBER('Gruppe A'!F4),'Gruppe A'!F4,"")</x:f>
      </x:c>
      <x:c r="G3" s="2" t="str">
        <x:f>IF(ISNUMBER('Gruppe A'!B10),'Gruppe A'!B10,"")</x:f>
      </x:c>
      <x:c r="H3" s="2" t="str">
        <x:f>IF(ISNUMBER('Gruppe A'!G4),'Gruppe A'!G4,"")</x:f>
      </x:c>
      <x:c r="I3" s="2" t="str">
        <x:f>IF(ISNUMBER('Gruppe A'!C10),'Gruppe A'!C10,"")</x:f>
      </x:c>
      <x:c r="J3" s="2" t="str">
        <x:f>IF(ISNUMBER('Gruppe A'!G6),'Gruppe A'!G6,"")</x:f>
      </x:c>
      <x:c r="K3" s="2" t="str">
        <x:f>IF(ISNUMBER('Gruppe A'!C12),'Gruppe A'!C12,"")</x:f>
      </x:c>
      <x:c r="L3" s="6" t="str">
        <x:f>IF(ISNUMBER('Gruppe A'!S2),'Gruppe A'!S2,"")</x:f>
      </x:c>
      <x:c r="M3" s="2"/>
      <x:c r="N3" s="2"/>
      <x:c r="O3" s="2"/>
      <x:c r="P3" s="2"/>
      <x:c r="Q3" s="2"/>
      <x:c r="R3" s="2"/>
      <x:c r="S3" s="2"/>
      <x:c r="T3" s="2"/>
    </x:row>
    <x:row r="4" ht="24" customHeight="1">
      <x:c r="A4" s="2" t="str">
        <x:v>Gruppe A</x:v>
      </x:c>
      <x:c r="B4" s="2" t="n">
        <x:v>3</x:v>
      </x:c>
      <x:c r="C4" s="2" t="n">
        <x:v>1</x:v>
      </x:c>
      <x:c r="D4" s="2" t="str">
        <x:f>IF(Teilnehmer!C2="","",Teilnehmer!C2)</x:f>
      </x:c>
      <x:c r="E4" s="2" t="str">
        <x:f>IF(Teilnehmer!C9="","",Teilnehmer!C9)</x:f>
      </x:c>
      <x:c r="F4" s="2" t="str">
        <x:f>IF(ISNUMBER('Gruppe A'!H4),'Gruppe A'!H4,"")</x:f>
      </x:c>
      <x:c r="G4" s="2" t="str">
        <x:f>IF(ISNUMBER('Gruppe A'!B13),'Gruppe A'!B13,"")</x:f>
      </x:c>
      <x:c r="H4" s="2" t="str">
        <x:f>IF(ISNUMBER('Gruppe A'!I4),'Gruppe A'!I4,"")</x:f>
      </x:c>
      <x:c r="I4" s="2" t="str">
        <x:f>IF(ISNUMBER('Gruppe A'!C13),'Gruppe A'!C13,"")</x:f>
      </x:c>
      <x:c r="J4" s="2" t="str">
        <x:f>IF(ISNUMBER('Gruppe A'!I6),'Gruppe A'!I6,"")</x:f>
      </x:c>
      <x:c r="K4" s="2" t="str">
        <x:f>IF(ISNUMBER('Gruppe A'!C15),'Gruppe A'!C15,"")</x:f>
      </x:c>
      <x:c r="L4" s="6" t="str">
        <x:f>IF(ISNUMBER('Gruppe A'!S2),'Gruppe A'!S2,"")</x:f>
      </x:c>
      <x:c r="M4" s="2"/>
      <x:c r="N4" s="2"/>
      <x:c r="O4" s="2"/>
      <x:c r="P4" s="2"/>
      <x:c r="Q4" s="2"/>
      <x:c r="R4" s="2"/>
      <x:c r="S4" s="2"/>
      <x:c r="T4" s="2"/>
    </x:row>
    <x:row r="5" ht="24" customHeight="1">
      <x:c r="A5" s="2" t="str">
        <x:v>Gruppe A</x:v>
      </x:c>
      <x:c r="B5" s="2" t="n">
        <x:v>4</x:v>
      </x:c>
      <x:c r="C5" s="2" t="n">
        <x:v>1</x:v>
      </x:c>
      <x:c r="D5" s="2" t="str">
        <x:f>IF(Teilnehmer!C5="","",Teilnehmer!C5)</x:f>
      </x:c>
      <x:c r="E5" s="2" t="str">
        <x:f>IF(Teilnehmer!C6="","",Teilnehmer!C6)</x:f>
      </x:c>
      <x:c r="F5" s="2" t="str">
        <x:f>IF(ISNUMBER('Gruppe A'!F7),'Gruppe A'!F7,"")</x:f>
      </x:c>
      <x:c r="G5" s="2" t="str">
        <x:f>IF(ISNUMBER('Gruppe A'!D10),'Gruppe A'!D10,"")</x:f>
      </x:c>
      <x:c r="H5" s="2" t="str">
        <x:f>IF(ISNUMBER('Gruppe A'!G7),'Gruppe A'!G7,"")</x:f>
      </x:c>
      <x:c r="I5" s="2" t="str">
        <x:f>IF(ISNUMBER('Gruppe A'!E10),'Gruppe A'!E10,"")</x:f>
      </x:c>
      <x:c r="J5" s="2" t="str">
        <x:f>IF(ISNUMBER('Gruppe A'!G9),'Gruppe A'!G9,"")</x:f>
      </x:c>
      <x:c r="K5" s="2" t="str">
        <x:f>IF(ISNUMBER('Gruppe A'!E12),'Gruppe A'!E12,"")</x:f>
      </x:c>
      <x:c r="L5" s="6" t="str">
        <x:f>IF(ISNUMBER('Gruppe A'!S2),'Gruppe A'!S2,"")</x:f>
      </x:c>
      <x:c r="M5" s="2"/>
      <x:c r="N5" s="2"/>
      <x:c r="O5" s="2"/>
      <x:c r="P5" s="2"/>
      <x:c r="Q5" s="2"/>
      <x:c r="R5" s="2"/>
      <x:c r="S5" s="2"/>
      <x:c r="T5" s="2"/>
    </x:row>
    <x:row r="6" ht="24" customHeight="1">
      <x:c r="A6" s="2" t="str">
        <x:v>Gruppe A</x:v>
      </x:c>
      <x:c r="B6" s="2" t="n">
        <x:v>5</x:v>
      </x:c>
      <x:c r="C6" s="2" t="n">
        <x:v>1</x:v>
      </x:c>
      <x:c r="D6" s="2" t="str">
        <x:f>IF(Teilnehmer!C5="","",Teilnehmer!C5)</x:f>
      </x:c>
      <x:c r="E6" s="2" t="str">
        <x:f>IF(Teilnehmer!C9="","",Teilnehmer!C9)</x:f>
      </x:c>
      <x:c r="F6" s="2" t="str">
        <x:f>IF(ISNUMBER('Gruppe A'!H7),'Gruppe A'!H7,"")</x:f>
      </x:c>
      <x:c r="G6" s="2" t="str">
        <x:f>IF(ISNUMBER('Gruppe A'!D13),'Gruppe A'!D13,"")</x:f>
      </x:c>
      <x:c r="H6" s="2" t="str">
        <x:f>IF(ISNUMBER('Gruppe A'!I7),'Gruppe A'!I7,"")</x:f>
      </x:c>
      <x:c r="I6" s="2" t="str">
        <x:f>IF(ISNUMBER('Gruppe A'!E13),'Gruppe A'!E13,"")</x:f>
      </x:c>
      <x:c r="J6" s="2" t="str">
        <x:f>IF(ISNUMBER('Gruppe A'!I9),'Gruppe A'!I9,"")</x:f>
      </x:c>
      <x:c r="K6" s="2" t="str">
        <x:f>IF(ISNUMBER('Gruppe A'!E15),'Gruppe A'!E15,"")</x:f>
      </x:c>
      <x:c r="L6" s="6" t="str">
        <x:f>IF(ISNUMBER('Gruppe A'!S2),'Gruppe A'!S2,"")</x:f>
      </x:c>
      <x:c r="M6" s="2"/>
      <x:c r="N6" s="2"/>
      <x:c r="O6" s="2"/>
      <x:c r="P6" s="2"/>
      <x:c r="Q6" s="2"/>
      <x:c r="R6" s="2"/>
      <x:c r="S6" s="2"/>
      <x:c r="T6" s="2"/>
    </x:row>
    <x:row r="7" ht="24" customHeight="1">
      <x:c r="A7" s="2" t="str">
        <x:v>Gruppe A</x:v>
      </x:c>
      <x:c r="B7" s="2" t="n">
        <x:v>6</x:v>
      </x:c>
      <x:c r="C7" s="2" t="n">
        <x:v>1</x:v>
      </x:c>
      <x:c r="D7" s="2" t="str">
        <x:f>IF(Teilnehmer!C6="","",Teilnehmer!C6)</x:f>
      </x:c>
      <x:c r="E7" s="2" t="str">
        <x:f>IF(Teilnehmer!C9="","",Teilnehmer!C9)</x:f>
      </x:c>
      <x:c r="F7" s="2" t="str">
        <x:f>IF(ISNUMBER('Gruppe A'!H10),'Gruppe A'!H10,"")</x:f>
      </x:c>
      <x:c r="G7" s="2" t="str">
        <x:f>IF(ISNUMBER('Gruppe A'!F13),'Gruppe A'!F13,"")</x:f>
      </x:c>
      <x:c r="H7" s="2" t="str">
        <x:f>IF(ISNUMBER('Gruppe A'!I10),'Gruppe A'!I10,"")</x:f>
      </x:c>
      <x:c r="I7" s="2" t="str">
        <x:f>IF(ISNUMBER('Gruppe A'!G13),'Gruppe A'!G13,"")</x:f>
      </x:c>
      <x:c r="J7" s="2" t="str">
        <x:f>IF(ISNUMBER('Gruppe A'!I12),'Gruppe A'!I12,"")</x:f>
      </x:c>
      <x:c r="K7" s="2" t="str">
        <x:f>IF(ISNUMBER('Gruppe A'!G15),'Gruppe A'!G15,"")</x:f>
      </x:c>
      <x:c r="L7" s="6" t="str">
        <x:f>IF(ISNUMBER('Gruppe A'!S2),'Gruppe A'!S2,"")</x:f>
      </x:c>
      <x:c r="M7" s="2"/>
      <x:c r="N7" s="2"/>
      <x:c r="O7" s="2"/>
      <x:c r="P7" s="2"/>
      <x:c r="Q7" s="2"/>
      <x:c r="R7" s="2"/>
      <x:c r="S7" s="2"/>
      <x:c r="T7" s="2"/>
    </x:row>
    <x:row r="8" ht="24" customHeight="1">
      <x:c r="A8" s="2" t="str">
        <x:v>Gruppe B</x:v>
      </x:c>
      <x:c r="B8" s="2" t="n">
        <x:v>7</x:v>
      </x:c>
      <x:c r="C8" s="2" t="n">
        <x:v>1</x:v>
      </x:c>
      <x:c r="D8" s="2" t="str">
        <x:f>IF(Teilnehmer!C3="","",Teilnehmer!C3)</x:f>
      </x:c>
      <x:c r="E8" s="2" t="str">
        <x:f>IF(Teilnehmer!C4="","",Teilnehmer!C4)</x:f>
      </x:c>
      <x:c r="F8" s="2" t="str">
        <x:f>IF(ISNUMBER('Gruppe B'!D4),'Gruppe B'!D4,"")</x:f>
      </x:c>
      <x:c r="G8" s="2" t="str">
        <x:f>IF(ISNUMBER('Gruppe B'!B7),'Gruppe B'!B7,"")</x:f>
      </x:c>
      <x:c r="H8" s="2" t="str">
        <x:f>IF(ISNUMBER('Gruppe B'!E4),'Gruppe B'!E4,"")</x:f>
      </x:c>
      <x:c r="I8" s="2" t="str">
        <x:f>IF(ISNUMBER('Gruppe B'!C7),'Gruppe B'!C7,"")</x:f>
      </x:c>
      <x:c r="J8" s="2" t="str">
        <x:f>IF(ISNUMBER('Gruppe B'!E6),'Gruppe B'!E6,"")</x:f>
      </x:c>
      <x:c r="K8" s="2" t="str">
        <x:f>IF(ISNUMBER('Gruppe B'!C9),'Gruppe B'!C9,"")</x:f>
      </x:c>
      <x:c r="L8" s="6" t="str">
        <x:f>IF(ISNUMBER('Gruppe A'!S2),'Gruppe A'!S2,"")</x:f>
      </x:c>
      <x:c r="M8" s="2"/>
      <x:c r="N8" s="2"/>
      <x:c r="O8" s="2"/>
      <x:c r="P8" s="2"/>
      <x:c r="Q8" s="2"/>
      <x:c r="R8" s="2"/>
      <x:c r="S8" s="2"/>
      <x:c r="T8" s="2"/>
    </x:row>
    <x:row r="9" ht="24" customHeight="1">
      <x:c r="A9" s="2" t="str">
        <x:v>Gruppe B</x:v>
      </x:c>
      <x:c r="B9" s="2" t="n">
        <x:v>8</x:v>
      </x:c>
      <x:c r="C9" s="2" t="n">
        <x:v>1</x:v>
      </x:c>
      <x:c r="D9" s="2" t="str">
        <x:f>IF(Teilnehmer!C3="","",Teilnehmer!C3)</x:f>
      </x:c>
      <x:c r="E9" s="2" t="str">
        <x:f>IF(Teilnehmer!C7="","",Teilnehmer!C7)</x:f>
      </x:c>
      <x:c r="F9" s="2" t="str">
        <x:f>IF(ISNUMBER('Gruppe B'!F4),'Gruppe B'!F4,"")</x:f>
      </x:c>
      <x:c r="G9" s="2" t="str">
        <x:f>IF(ISNUMBER('Gruppe B'!B10),'Gruppe B'!B10,"")</x:f>
      </x:c>
      <x:c r="H9" s="2" t="str">
        <x:f>IF(ISNUMBER('Gruppe B'!G4),'Gruppe B'!G4,"")</x:f>
      </x:c>
      <x:c r="I9" s="2" t="str">
        <x:f>IF(ISNUMBER('Gruppe B'!C10),'Gruppe B'!C10,"")</x:f>
      </x:c>
      <x:c r="J9" s="2" t="str">
        <x:f>IF(ISNUMBER('Gruppe B'!G6),'Gruppe B'!G6,"")</x:f>
      </x:c>
      <x:c r="K9" s="2" t="str">
        <x:f>IF(ISNUMBER('Gruppe B'!C12),'Gruppe B'!C12,"")</x:f>
      </x:c>
      <x:c r="L9" s="6" t="str">
        <x:f>IF(ISNUMBER('Gruppe A'!S2),'Gruppe A'!S2,"")</x:f>
      </x:c>
      <x:c r="M9" s="2"/>
      <x:c r="N9" s="2"/>
      <x:c r="O9" s="2"/>
      <x:c r="P9" s="2"/>
      <x:c r="Q9" s="2"/>
      <x:c r="R9" s="2"/>
      <x:c r="S9" s="2"/>
      <x:c r="T9" s="2"/>
    </x:row>
    <x:row r="10" ht="24" customHeight="1">
      <x:c r="A10" s="2" t="str">
        <x:v>Gruppe B</x:v>
      </x:c>
      <x:c r="B10" s="2" t="n">
        <x:v>9</x:v>
      </x:c>
      <x:c r="C10" s="2" t="n">
        <x:v>1</x:v>
      </x:c>
      <x:c r="D10" s="2" t="str">
        <x:f>IF(Teilnehmer!C3="","",Teilnehmer!C3)</x:f>
      </x:c>
      <x:c r="E10" s="2" t="str">
        <x:f>IF(Teilnehmer!C8="","",Teilnehmer!C8)</x:f>
      </x:c>
      <x:c r="F10" s="2" t="str">
        <x:f>IF(ISNUMBER('Gruppe B'!H4),'Gruppe B'!H4,"")</x:f>
      </x:c>
      <x:c r="G10" s="2" t="str">
        <x:f>IF(ISNUMBER('Gruppe B'!B13),'Gruppe B'!B13,"")</x:f>
      </x:c>
      <x:c r="H10" s="2" t="str">
        <x:f>IF(ISNUMBER('Gruppe B'!I4),'Gruppe B'!I4,"")</x:f>
      </x:c>
      <x:c r="I10" s="2" t="str">
        <x:f>IF(ISNUMBER('Gruppe B'!C13),'Gruppe B'!C13,"")</x:f>
      </x:c>
      <x:c r="J10" s="2" t="str">
        <x:f>IF(ISNUMBER('Gruppe B'!I6),'Gruppe B'!I6,"")</x:f>
      </x:c>
      <x:c r="K10" s="2" t="str">
        <x:f>IF(ISNUMBER('Gruppe B'!C15),'Gruppe B'!C15,"")</x:f>
      </x:c>
      <x:c r="L10" s="6" t="str">
        <x:f>IF(ISNUMBER('Gruppe A'!S2),'Gruppe A'!S2,"")</x:f>
      </x:c>
      <x:c r="M10" s="2"/>
      <x:c r="N10" s="2"/>
      <x:c r="O10" s="2"/>
      <x:c r="P10" s="2"/>
      <x:c r="Q10" s="2"/>
      <x:c r="R10" s="2"/>
      <x:c r="S10" s="2"/>
      <x:c r="T10" s="2"/>
    </x:row>
    <x:row r="11" ht="24" customHeight="1">
      <x:c r="A11" s="2" t="str">
        <x:v>Gruppe B</x:v>
      </x:c>
      <x:c r="B11" s="2" t="n">
        <x:v>10</x:v>
      </x:c>
      <x:c r="C11" s="2" t="n">
        <x:v>1</x:v>
      </x:c>
      <x:c r="D11" s="2" t="str">
        <x:f>IF(Teilnehmer!C3="","",Teilnehmer!C3)</x:f>
      </x:c>
      <x:c r="E11" s="2" t="str">
        <x:f>IF(Teilnehmer!C10="","",Teilnehmer!C10)</x:f>
      </x:c>
      <x:c r="F11" s="2" t="str">
        <x:f>IF(ISNUMBER('Gruppe B'!J4),'Gruppe B'!J4,"")</x:f>
      </x:c>
      <x:c r="G11" s="2" t="str">
        <x:f>IF(ISNUMBER('Gruppe B'!B16),'Gruppe B'!B16,"")</x:f>
      </x:c>
      <x:c r="H11" s="2" t="str">
        <x:f>IF(ISNUMBER('Gruppe B'!K4),'Gruppe B'!K4,"")</x:f>
      </x:c>
      <x:c r="I11" s="2" t="str">
        <x:f>IF(ISNUMBER('Gruppe B'!C16),'Gruppe B'!C16,"")</x:f>
      </x:c>
      <x:c r="J11" s="2" t="str">
        <x:f>IF(ISNUMBER('Gruppe B'!K6),'Gruppe B'!K6,"")</x:f>
      </x:c>
      <x:c r="K11" s="2" t="str">
        <x:f>IF(ISNUMBER('Gruppe B'!C18),'Gruppe B'!C18,"")</x:f>
      </x:c>
      <x:c r="L11" s="6" t="str">
        <x:f>IF(ISNUMBER('Gruppe A'!S2),'Gruppe A'!S2,"")</x:f>
      </x:c>
      <x:c r="M11" s="2"/>
      <x:c r="N11" s="2"/>
      <x:c r="O11" s="2"/>
      <x:c r="P11" s="2"/>
      <x:c r="Q11" s="2"/>
      <x:c r="R11" s="2"/>
      <x:c r="S11" s="2"/>
      <x:c r="T11" s="2"/>
    </x:row>
    <x:row r="12" ht="24" customHeight="1">
      <x:c r="A12" s="2" t="str">
        <x:v>Gruppe B</x:v>
      </x:c>
      <x:c r="B12" s="2" t="n">
        <x:v>11</x:v>
      </x:c>
      <x:c r="C12" s="2" t="n">
        <x:v>1</x:v>
      </x:c>
      <x:c r="D12" s="2" t="str">
        <x:f>IF(Teilnehmer!C4="","",Teilnehmer!C4)</x:f>
      </x:c>
      <x:c r="E12" s="2" t="str">
        <x:f>IF(Teilnehmer!C7="","",Teilnehmer!C7)</x:f>
      </x:c>
      <x:c r="F12" s="2" t="str">
        <x:f>IF(ISNUMBER('Gruppe B'!F7),'Gruppe B'!F7,"")</x:f>
      </x:c>
      <x:c r="G12" s="2" t="str">
        <x:f>IF(ISNUMBER('Gruppe B'!D10),'Gruppe B'!D10,"")</x:f>
      </x:c>
      <x:c r="H12" s="2" t="str">
        <x:f>IF(ISNUMBER('Gruppe B'!G7),'Gruppe B'!G7,"")</x:f>
      </x:c>
      <x:c r="I12" s="2" t="str">
        <x:f>IF(ISNUMBER('Gruppe B'!E10),'Gruppe B'!E10,"")</x:f>
      </x:c>
      <x:c r="J12" s="2" t="str">
        <x:f>IF(ISNUMBER('Gruppe B'!G9),'Gruppe B'!G9,"")</x:f>
      </x:c>
      <x:c r="K12" s="2" t="str">
        <x:f>IF(ISNUMBER('Gruppe B'!E12),'Gruppe B'!E12,"")</x:f>
      </x:c>
      <x:c r="L12" s="6" t="str">
        <x:f>IF(ISNUMBER('Gruppe A'!S2),'Gruppe A'!S2,"")</x:f>
      </x:c>
      <x:c r="M12" s="2"/>
      <x:c r="N12" s="2"/>
      <x:c r="O12" s="2"/>
      <x:c r="P12" s="2"/>
      <x:c r="Q12" s="2"/>
      <x:c r="R12" s="2"/>
      <x:c r="S12" s="2"/>
      <x:c r="T12" s="2"/>
    </x:row>
    <x:row r="13" ht="24" customHeight="1">
      <x:c r="A13" s="2" t="str">
        <x:v>Gruppe B</x:v>
      </x:c>
      <x:c r="B13" s="2" t="n">
        <x:v>12</x:v>
      </x:c>
      <x:c r="C13" s="2" t="n">
        <x:v>1</x:v>
      </x:c>
      <x:c r="D13" s="2" t="str">
        <x:f>IF(Teilnehmer!C4="","",Teilnehmer!C4)</x:f>
      </x:c>
      <x:c r="E13" s="2" t="str">
        <x:f>IF(Teilnehmer!C8="","",Teilnehmer!C8)</x:f>
      </x:c>
      <x:c r="F13" s="2" t="str">
        <x:f>IF(ISNUMBER('Gruppe B'!H7),'Gruppe B'!H7,"")</x:f>
      </x:c>
      <x:c r="G13" s="2" t="str">
        <x:f>IF(ISNUMBER('Gruppe B'!D13),'Gruppe B'!D13,"")</x:f>
      </x:c>
      <x:c r="H13" s="2" t="str">
        <x:f>IF(ISNUMBER('Gruppe B'!I7),'Gruppe B'!I7,"")</x:f>
      </x:c>
      <x:c r="I13" s="2" t="str">
        <x:f>IF(ISNUMBER('Gruppe B'!E13),'Gruppe B'!E13,"")</x:f>
      </x:c>
      <x:c r="J13" s="2" t="str">
        <x:f>IF(ISNUMBER('Gruppe B'!I9),'Gruppe B'!I9,"")</x:f>
      </x:c>
      <x:c r="K13" s="2" t="str">
        <x:f>IF(ISNUMBER('Gruppe B'!E15),'Gruppe B'!E15,"")</x:f>
      </x:c>
      <x:c r="L13" s="6" t="str">
        <x:f>IF(ISNUMBER('Gruppe A'!S2),'Gruppe A'!S2,"")</x:f>
      </x:c>
      <x:c r="M13" s="2"/>
      <x:c r="N13" s="2"/>
      <x:c r="O13" s="2"/>
      <x:c r="P13" s="2"/>
      <x:c r="Q13" s="2"/>
      <x:c r="R13" s="2"/>
      <x:c r="S13" s="2"/>
      <x:c r="T13" s="2"/>
    </x:row>
    <x:row r="14" ht="24" customHeight="1">
      <x:c r="A14" s="2" t="str">
        <x:v>Gruppe B</x:v>
      </x:c>
      <x:c r="B14" s="2" t="n">
        <x:v>13</x:v>
      </x:c>
      <x:c r="C14" s="2" t="n">
        <x:v>1</x:v>
      </x:c>
      <x:c r="D14" s="2" t="str">
        <x:f>IF(Teilnehmer!C4="","",Teilnehmer!C4)</x:f>
      </x:c>
      <x:c r="E14" s="2" t="str">
        <x:f>IF(Teilnehmer!C10="","",Teilnehmer!C10)</x:f>
      </x:c>
      <x:c r="F14" s="2" t="str">
        <x:f>IF(ISNUMBER('Gruppe B'!J7),'Gruppe B'!J7,"")</x:f>
      </x:c>
      <x:c r="G14" s="2" t="str">
        <x:f>IF(ISNUMBER('Gruppe B'!D16),'Gruppe B'!D16,"")</x:f>
      </x:c>
      <x:c r="H14" s="2" t="str">
        <x:f>IF(ISNUMBER('Gruppe B'!K7),'Gruppe B'!K7,"")</x:f>
      </x:c>
      <x:c r="I14" s="2" t="str">
        <x:f>IF(ISNUMBER('Gruppe B'!E16),'Gruppe B'!E16,"")</x:f>
      </x:c>
      <x:c r="J14" s="2" t="str">
        <x:f>IF(ISNUMBER('Gruppe B'!K9),'Gruppe B'!K9,"")</x:f>
      </x:c>
      <x:c r="K14" s="2" t="str">
        <x:f>IF(ISNUMBER('Gruppe B'!E18),'Gruppe B'!E18,"")</x:f>
      </x:c>
      <x:c r="L14" s="6" t="str">
        <x:f>IF(ISNUMBER('Gruppe A'!S2),'Gruppe A'!S2,"")</x:f>
      </x:c>
      <x:c r="M14" s="2"/>
      <x:c r="N14" s="2"/>
      <x:c r="O14" s="2"/>
      <x:c r="P14" s="2"/>
      <x:c r="Q14" s="2"/>
      <x:c r="R14" s="2"/>
      <x:c r="S14" s="2"/>
      <x:c r="T14" s="2"/>
    </x:row>
    <x:row r="15" ht="24" customHeight="1">
      <x:c r="A15" s="2" t="str">
        <x:v>Gruppe B</x:v>
      </x:c>
      <x:c r="B15" s="2" t="n">
        <x:v>14</x:v>
      </x:c>
      <x:c r="C15" s="2" t="n">
        <x:v>1</x:v>
      </x:c>
      <x:c r="D15" s="2" t="str">
        <x:f>IF(Teilnehmer!C7="","",Teilnehmer!C7)</x:f>
      </x:c>
      <x:c r="E15" s="2" t="str">
        <x:f>IF(Teilnehmer!C8="","",Teilnehmer!C8)</x:f>
      </x:c>
      <x:c r="F15" s="2" t="str">
        <x:f>IF(ISNUMBER('Gruppe B'!H10),'Gruppe B'!H10,"")</x:f>
      </x:c>
      <x:c r="G15" s="2" t="str">
        <x:f>IF(ISNUMBER('Gruppe B'!F13),'Gruppe B'!F13,"")</x:f>
      </x:c>
      <x:c r="H15" s="2" t="str">
        <x:f>IF(ISNUMBER('Gruppe B'!I10),'Gruppe B'!I10,"")</x:f>
      </x:c>
      <x:c r="I15" s="2" t="str">
        <x:f>IF(ISNUMBER('Gruppe B'!G13),'Gruppe B'!G13,"")</x:f>
      </x:c>
      <x:c r="J15" s="2" t="str">
        <x:f>IF(ISNUMBER('Gruppe B'!I12),'Gruppe B'!I12,"")</x:f>
      </x:c>
      <x:c r="K15" s="2" t="str">
        <x:f>IF(ISNUMBER('Gruppe B'!G15),'Gruppe B'!G15,"")</x:f>
      </x:c>
      <x:c r="L15" s="6" t="str">
        <x:f>IF(ISNUMBER('Gruppe A'!S2),'Gruppe A'!S2,"")</x:f>
      </x:c>
      <x:c r="M15" s="2"/>
      <x:c r="N15" s="2"/>
      <x:c r="O15" s="2"/>
      <x:c r="P15" s="2"/>
      <x:c r="Q15" s="2"/>
      <x:c r="R15" s="2"/>
      <x:c r="S15" s="2"/>
      <x:c r="T15" s="2"/>
    </x:row>
    <x:row r="16" ht="24" customHeight="1">
      <x:c r="A16" s="2" t="str">
        <x:v>Gruppe B</x:v>
      </x:c>
      <x:c r="B16" s="2" t="n">
        <x:v>15</x:v>
      </x:c>
      <x:c r="C16" s="2" t="n">
        <x:v>1</x:v>
      </x:c>
      <x:c r="D16" s="2" t="str">
        <x:f>IF(Teilnehmer!C7="","",Teilnehmer!C7)</x:f>
      </x:c>
      <x:c r="E16" s="2" t="str">
        <x:f>IF(Teilnehmer!C10="","",Teilnehmer!C10)</x:f>
      </x:c>
      <x:c r="F16" s="2" t="str">
        <x:f>IF(ISNUMBER('Gruppe B'!J10),'Gruppe B'!J10,"")</x:f>
      </x:c>
      <x:c r="G16" s="2" t="str">
        <x:f>IF(ISNUMBER('Gruppe B'!F16),'Gruppe B'!F16,"")</x:f>
      </x:c>
      <x:c r="H16" s="2" t="str">
        <x:f>IF(ISNUMBER('Gruppe B'!K10),'Gruppe B'!K10,"")</x:f>
      </x:c>
      <x:c r="I16" s="2" t="str">
        <x:f>IF(ISNUMBER('Gruppe B'!G16),'Gruppe B'!G16,"")</x:f>
      </x:c>
      <x:c r="J16" s="2" t="str">
        <x:f>IF(ISNUMBER('Gruppe B'!K12),'Gruppe B'!K12,"")</x:f>
      </x:c>
      <x:c r="K16" s="2" t="str">
        <x:f>IF(ISNUMBER('Gruppe B'!G18),'Gruppe B'!G18,"")</x:f>
      </x:c>
      <x:c r="L16" s="6" t="str">
        <x:f>IF(ISNUMBER('Gruppe A'!S2),'Gruppe A'!S2,"")</x:f>
      </x:c>
      <x:c r="M16" s="2"/>
      <x:c r="N16" s="2"/>
      <x:c r="O16" s="2"/>
      <x:c r="P16" s="2"/>
      <x:c r="Q16" s="2"/>
      <x:c r="R16" s="2"/>
      <x:c r="S16" s="2"/>
      <x:c r="T16" s="2"/>
    </x:row>
    <x:row r="17" ht="24" customHeight="1">
      <x:c r="A17" s="2" t="str">
        <x:v>Gruppe B</x:v>
      </x:c>
      <x:c r="B17" s="2" t="n">
        <x:v>16</x:v>
      </x:c>
      <x:c r="C17" s="2" t="n">
        <x:v>1</x:v>
      </x:c>
      <x:c r="D17" s="2" t="str">
        <x:f>IF(Teilnehmer!C8="","",Teilnehmer!C8)</x:f>
      </x:c>
      <x:c r="E17" s="2" t="str">
        <x:f>IF(Teilnehmer!C10="","",Teilnehmer!C10)</x:f>
      </x:c>
      <x:c r="F17" s="2" t="str">
        <x:f>IF(ISNUMBER('Gruppe B'!J13),'Gruppe B'!J13,"")</x:f>
      </x:c>
      <x:c r="G17" s="2" t="str">
        <x:f>IF(ISNUMBER('Gruppe B'!H16),'Gruppe B'!H16,"")</x:f>
      </x:c>
      <x:c r="H17" s="2" t="str">
        <x:f>IF(ISNUMBER('Gruppe B'!K13),'Gruppe B'!K13,"")</x:f>
      </x:c>
      <x:c r="I17" s="2" t="str">
        <x:f>IF(ISNUMBER('Gruppe B'!I16),'Gruppe B'!I16,"")</x:f>
      </x:c>
      <x:c r="J17" s="2" t="str">
        <x:f>IF(ISNUMBER('Gruppe B'!K15),'Gruppe B'!K15,"")</x:f>
      </x:c>
      <x:c r="K17" s="2" t="str">
        <x:f>IF(ISNUMBER('Gruppe B'!I18),'Gruppe B'!I18,"")</x:f>
      </x:c>
      <x:c r="L17" s="6" t="str">
        <x:f>IF(ISNUMBER('Gruppe A'!S2),'Gruppe A'!S2,"")</x:f>
      </x:c>
      <x:c r="M17" s="2"/>
      <x:c r="N17" s="2"/>
      <x:c r="O17" s="2"/>
      <x:c r="P17" s="2"/>
      <x:c r="Q17" s="2"/>
      <x:c r="R17" s="2"/>
      <x:c r="S17" s="2"/>
      <x:c r="T17" s="2"/>
    </x:row>
    <x:row r="18" ht="24" customHeight="1">
      <x:c r="A18" s="2" t="str">
        <x:f>"HF1"</x:f>
        <x:v>HF1</x:v>
      </x:c>
      <x:c r="B18" s="2" t="n">
        <x:v>17</x:v>
      </x:c>
      <x:c r="C18" s="2" t="n">
        <x:v>1</x:v>
      </x:c>
      <x:c r="D18" s="2" t="str">
        <x:f>IF(Finalrunde!U4="","",INDEX(Teilnehmer!$C$2:$C$10,MATCH(Finalrunde!U4,Teilnehmer!$A$2:$A$10,0)))</x:f>
      </x:c>
      <x:c r="E18" s="2" t="str">
        <x:f>IF(Finalrunde!U5="","",INDEX(Teilnehmer!$C$2:$C$10,MATCH(Finalrunde!U5,Teilnehmer!$A$2:$A$10,0)))</x:f>
      </x:c>
      <x:c r="F18" s="2" t="str">
        <x:f>IF(ISNUMBER(Finalrunde!D5),Finalrunde!D5,"")</x:f>
      </x:c>
      <x:c r="G18" s="2" t="str">
        <x:f>IF(ISNUMBER(Finalrunde!B8),Finalrunde!B8,"")</x:f>
      </x:c>
      <x:c r="H18" s="2" t="str">
        <x:f>IF(ISNUMBER(Finalrunde!E5),Finalrunde!E5,"")</x:f>
      </x:c>
      <x:c r="I18" s="2" t="str">
        <x:f>IF(ISNUMBER(Finalrunde!C8),Finalrunde!C8,"")</x:f>
      </x:c>
      <x:c r="J18" s="2" t="str">
        <x:f>IF(ISNUMBER(Finalrunde!E7),Finalrunde!E7,"")</x:f>
      </x:c>
      <x:c r="K18" s="2" t="str">
        <x:f>IF(ISNUMBER(Finalrunde!C10),Finalrunde!C10,"")</x:f>
      </x:c>
      <x:c r="L18" s="6" t="str">
        <x:f>IF(ISNUMBER('Gruppe A'!S2),'Gruppe A'!S2,"")</x:f>
      </x:c>
      <x:c r="M18" s="2"/>
      <x:c r="N18" s="2"/>
      <x:c r="O18" s="2"/>
      <x:c r="P18" s="2"/>
      <x:c r="Q18" s="2"/>
      <x:c r="R18" s="2"/>
      <x:c r="S18" s="2"/>
      <x:c r="T18" s="2"/>
    </x:row>
    <x:row r="19" ht="24" customHeight="1">
      <x:c r="A19" s="2" t="str">
        <x:f>"HF2"</x:f>
        <x:v>HF2</x:v>
      </x:c>
      <x:c r="B19" s="2" t="n">
        <x:v>18</x:v>
      </x:c>
      <x:c r="C19" s="2" t="n">
        <x:v>1</x:v>
      </x:c>
      <x:c r="D19" s="2" t="str">
        <x:f>IF(Finalrunde!U6="","",INDEX(Teilnehmer!$C$2:$C$10,MATCH(Finalrunde!U6,Teilnehmer!$A$2:$A$10,0)))</x:f>
      </x:c>
      <x:c r="E19" s="2" t="str">
        <x:f>IF(Finalrunde!U7="","",INDEX(Teilnehmer!$C$2:$C$10,MATCH(Finalrunde!U7,Teilnehmer!$A$2:$A$10,0)))</x:f>
      </x:c>
      <x:c r="F19" s="2" t="str">
        <x:f>IF(ISNUMBER(Finalrunde!H11),Finalrunde!H11,"")</x:f>
      </x:c>
      <x:c r="G19" s="2" t="str">
        <x:f>IF(ISNUMBER(Finalrunde!F14),Finalrunde!F14,"")</x:f>
      </x:c>
      <x:c r="H19" s="2" t="str">
        <x:f>IF(ISNUMBER(Finalrunde!I11),Finalrunde!I11,"")</x:f>
      </x:c>
      <x:c r="I19" s="2" t="str">
        <x:f>IF(ISNUMBER(Finalrunde!G14),Finalrunde!G14,"")</x:f>
      </x:c>
      <x:c r="J19" s="2" t="str">
        <x:f>IF(ISNUMBER(Finalrunde!I13),Finalrunde!I13,"")</x:f>
      </x:c>
      <x:c r="K19" s="2" t="str">
        <x:f>IF(ISNUMBER(Finalrunde!G16),Finalrunde!G16,"")</x:f>
      </x:c>
      <x:c r="L19" s="6" t="str">
        <x:f>IF(ISNUMBER('Gruppe A'!S2),'Gruppe A'!S2,"")</x:f>
      </x:c>
      <x:c r="M19" s="2"/>
      <x:c r="N19" s="2"/>
      <x:c r="O19" s="2"/>
      <x:c r="P19" s="2"/>
      <x:c r="Q19" s="2"/>
      <x:c r="R19" s="2"/>
      <x:c r="S19" s="2"/>
      <x:c r="T19" s="2"/>
    </x:row>
    <x:row r="20" ht="24" customHeight="1">
      <x:c r="A20" s="2" t="str">
        <x:f>"Platz 5–6"</x:f>
        <x:v>Platz 5–6</x:v>
      </x:c>
      <x:c r="B20" s="2" t="n">
        <x:v>19</x:v>
      </x:c>
      <x:c r="C20" s="2" t="n">
        <x:v>1</x:v>
      </x:c>
      <x:c r="D20" s="2" t="str">
        <x:f>IF(Finalrunde!U36="","",INDEX(Teilnehmer!$C$2:$C$10,MATCH(Finalrunde!U36,Teilnehmer!$A$2:$A$10,0)))</x:f>
      </x:c>
      <x:c r="E20" s="2" t="str">
        <x:f>IF(Finalrunde!U37="","",INDEX(Teilnehmer!$C$2:$C$10,MATCH(Finalrunde!U37,Teilnehmer!$A$2:$A$10,0)))</x:f>
      </x:c>
      <x:c r="F20" s="2" t="str">
        <x:f>IF(ISNUMBER(Finalrunde!D37),Finalrunde!D37,"")</x:f>
      </x:c>
      <x:c r="G20" s="2" t="str">
        <x:f>IF(ISNUMBER(Finalrunde!B40),Finalrunde!B40,"")</x:f>
      </x:c>
      <x:c r="H20" s="2" t="str">
        <x:f>IF(ISNUMBER(Finalrunde!E37),Finalrunde!E37,"")</x:f>
      </x:c>
      <x:c r="I20" s="2" t="str">
        <x:f>IF(ISNUMBER(Finalrunde!C40),Finalrunde!C40,"")</x:f>
      </x:c>
      <x:c r="J20" s="2" t="str">
        <x:f>IF(ISNUMBER(Finalrunde!E39),Finalrunde!E39,"")</x:f>
      </x:c>
      <x:c r="K20" s="2" t="str">
        <x:f>IF(ISNUMBER(Finalrunde!C42),Finalrunde!C42,"")</x:f>
      </x:c>
      <x:c r="L20" s="6" t="str">
        <x:f>IF(ISNUMBER('Gruppe A'!S2),'Gruppe A'!S2,"")</x:f>
      </x:c>
      <x:c r="M20" s="2"/>
      <x:c r="N20" s="2"/>
      <x:c r="O20" s="2"/>
      <x:c r="P20" s="2"/>
      <x:c r="Q20" s="2"/>
      <x:c r="R20" s="2"/>
      <x:c r="S20" s="2"/>
      <x:c r="T20" s="2"/>
    </x:row>
    <x:row r="21" ht="24" customHeight="1">
      <x:c r="A21" s="2" t="str">
        <x:f>"Platz 7–8"</x:f>
        <x:v>Platz 7–8</x:v>
      </x:c>
      <x:c r="B21" s="2" t="n">
        <x:v>20</x:v>
      </x:c>
      <x:c r="C21" s="2" t="n">
        <x:v>1</x:v>
      </x:c>
      <x:c r="D21" s="2" t="str">
        <x:f>IF(Finalrunde!U38="","",INDEX(Teilnehmer!$C$2:$C$10,MATCH(Finalrunde!U38,Teilnehmer!$A$2:$A$10,0)))</x:f>
      </x:c>
      <x:c r="E21" s="2" t="str">
        <x:f>IF(Finalrunde!U39="","",INDEX(Teilnehmer!$C$2:$C$10,MATCH(Finalrunde!U39,Teilnehmer!$A$2:$A$10,0)))</x:f>
      </x:c>
      <x:c r="F21" s="2" t="str">
        <x:f>IF(ISNUMBER(Finalrunde!H43),Finalrunde!H43,"")</x:f>
      </x:c>
      <x:c r="G21" s="2" t="str">
        <x:f>IF(ISNUMBER(Finalrunde!F46),Finalrunde!F46,"")</x:f>
      </x:c>
      <x:c r="H21" s="2" t="str">
        <x:f>IF(ISNUMBER(Finalrunde!I43),Finalrunde!I43,"")</x:f>
      </x:c>
      <x:c r="I21" s="2" t="str">
        <x:f>IF(ISNUMBER(Finalrunde!G46),Finalrunde!G46,"")</x:f>
      </x:c>
      <x:c r="J21" s="2" t="str">
        <x:f>IF(ISNUMBER(Finalrunde!I45),Finalrunde!I45,"")</x:f>
      </x:c>
      <x:c r="K21" s="2" t="str">
        <x:f>IF(ISNUMBER(Finalrunde!G48),Finalrunde!G48,"")</x:f>
      </x:c>
      <x:c r="L21" s="6" t="str">
        <x:f>IF(ISNUMBER('Gruppe A'!S2),'Gruppe A'!S2,"")</x:f>
      </x:c>
      <x:c r="M21" s="2"/>
      <x:c r="N21" s="2"/>
      <x:c r="O21" s="2"/>
      <x:c r="P21" s="2"/>
      <x:c r="Q21" s="2"/>
      <x:c r="R21" s="2"/>
      <x:c r="S21" s="2"/>
      <x:c r="T21" s="2"/>
    </x:row>
    <x:row r="22" ht="24" customHeight="1">
      <x:c r="A22" s="2" t="str">
        <x:f>"Finale"</x:f>
        <x:v>Finale</x:v>
      </x:c>
      <x:c r="B22" s="2" t="n">
        <x:v>21</x:v>
      </x:c>
      <x:c r="C22" s="2" t="n">
        <x:v>1</x:v>
      </x:c>
      <x:c r="D22" s="2" t="str">
        <x:f>IF(Finalrunde!U20="","",INDEX(Teilnehmer!$C$2:$C$10,MATCH(Finalrunde!U20,Teilnehmer!$A$2:$A$10,0)))</x:f>
      </x:c>
      <x:c r="E22" s="2" t="str">
        <x:f>IF(Finalrunde!U21="","",INDEX(Teilnehmer!$C$2:$C$10,MATCH(Finalrunde!U21,Teilnehmer!$A$2:$A$10,0)))</x:f>
      </x:c>
      <x:c r="F22" s="2" t="str">
        <x:f>IF(ISNUMBER(Finalrunde!D21),Finalrunde!D21,"")</x:f>
      </x:c>
      <x:c r="G22" s="2" t="str">
        <x:f>IF(ISNUMBER(Finalrunde!B24),Finalrunde!B24,"")</x:f>
      </x:c>
      <x:c r="H22" s="2" t="str">
        <x:f>IF(ISNUMBER(Finalrunde!E21),Finalrunde!E21,"")</x:f>
      </x:c>
      <x:c r="I22" s="2" t="str">
        <x:f>IF(ISNUMBER(Finalrunde!C24),Finalrunde!C24,"")</x:f>
      </x:c>
      <x:c r="J22" s="2" t="str">
        <x:f>IF(ISNUMBER(Finalrunde!E23),Finalrunde!E23,"")</x:f>
      </x:c>
      <x:c r="K22" s="2" t="str">
        <x:f>IF(ISNUMBER(Finalrunde!C26),Finalrunde!C26,"")</x:f>
      </x:c>
      <x:c r="L22" s="6" t="str">
        <x:f>IF(ISNUMBER('Gruppe A'!S2),'Gruppe A'!S2,"")</x:f>
      </x:c>
      <x:c r="M22" s="2"/>
      <x:c r="N22" s="2"/>
      <x:c r="O22" s="2"/>
      <x:c r="P22" s="2"/>
      <x:c r="Q22" s="2"/>
      <x:c r="R22" s="2"/>
      <x:c r="S22" s="2"/>
      <x:c r="T22" s="2"/>
    </x:row>
    <x:row r="23" ht="24" customHeight="1">
      <x:c r="A23" s="2" t="str">
        <x:f>"Platz 3–4"</x:f>
        <x:v>Platz 3–4</x:v>
      </x:c>
      <x:c r="B23" s="2" t="n">
        <x:v>22</x:v>
      </x:c>
      <x:c r="C23" s="2" t="n">
        <x:v>1</x:v>
      </x:c>
      <x:c r="D23" s="2" t="str">
        <x:f>IF(Finalrunde!U22="","",INDEX(Teilnehmer!$C$2:$C$10,MATCH(Finalrunde!U22,Teilnehmer!$A$2:$A$10,0)))</x:f>
      </x:c>
      <x:c r="E23" s="2" t="str">
        <x:f>IF(Finalrunde!U23="","",INDEX(Teilnehmer!$C$2:$C$10,MATCH(Finalrunde!U23,Teilnehmer!$A$2:$A$10,0)))</x:f>
      </x:c>
      <x:c r="F23" s="2" t="str">
        <x:f>IF(ISNUMBER(Finalrunde!H27),Finalrunde!H27,"")</x:f>
      </x:c>
      <x:c r="G23" s="2" t="str">
        <x:f>IF(ISNUMBER(Finalrunde!F30),Finalrunde!F30,"")</x:f>
      </x:c>
      <x:c r="H23" s="2" t="str">
        <x:f>IF(ISNUMBER(Finalrunde!I27),Finalrunde!I27,"")</x:f>
      </x:c>
      <x:c r="I23" s="2" t="str">
        <x:f>IF(ISNUMBER(Finalrunde!G30),Finalrunde!G30,"")</x:f>
      </x:c>
      <x:c r="J23" s="2" t="str">
        <x:f>IF(ISNUMBER(Finalrunde!I29),Finalrunde!I29,"")</x:f>
      </x:c>
      <x:c r="K23" s="2" t="str">
        <x:f>IF(ISNUMBER(Finalrunde!G32),Finalrunde!G32,"")</x:f>
      </x:c>
      <x:c r="L23" s="6" t="str">
        <x:f>IF(ISNUMBER('Gruppe A'!S2),'Gruppe A'!S2,"")</x:f>
      </x:c>
      <x:c r="M23" s="2"/>
      <x:c r="N23" s="2"/>
      <x:c r="O23" s="2"/>
      <x:c r="P23" s="2"/>
      <x:c r="Q23" s="2"/>
      <x:c r="R23" s="2"/>
      <x:c r="S23" s="2"/>
      <x:c r="T23" s="2"/>
    </x:row>
    <x:row r="24" ht="24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</x:row>
    <x:row r="25" ht="24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</x:row>
    <x:row r="26" ht="24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</x:row>
    <x:row r="27" ht="24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</x:row>
    <x:row r="28" ht="24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</x:row>
    <x:row r="29" ht="24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</x:row>
    <x:row r="35" ht="24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</x:row>
    <x:row r="39" ht="24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</x:row>
    <x:row r="41" ht="24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</x:row>
  </x:sheetData>
  <x:pageMargins left="0.2" right="0.2" top="0.3" bottom="0.3" header="0.1" footer="0.1"/>
  <x:pageSetup paperSize="9" orientation="landscape" fitToWidth="1" fitToHeight="1"/>
</x:worksheet>
</file>

<file path=xl/worksheets/sheet6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defaultRowHeight="15"/>
  <x:cols>
    <x:col min="1" max="1" width="8" hidden="0" customWidth="1"/>
    <x:col min="2" max="2" width="28" hidden="0" customWidth="1"/>
    <x:col min="3" max="3" width="24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3" hidden="0" customWidth="1"/>
    <x:col min="12" max="12" width="3" hidden="0" customWidth="1"/>
    <x:col min="13" max="13" width="3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2" hidden="1" width="10" customWidth="1"/>
  </x:cols>
  <x:sheetData>
    <x:row r="1" ht="36" customHeight="1">
      <x:c r="A1" s="1"/>
      <x:c r="B1" s="1"/>
      <x:c r="C1" s="1"/>
      <x:c r="D1" s="43" t="str">
        <x:v>T16a – Rangliste</x:v>
      </x:c>
      <x:c r="E1" s="43"/>
      <x:c r="F1" s="43"/>
      <x:c r="G1" s="43"/>
      <x:c r="H1" s="43"/>
      <x:c r="I1" s="43"/>
      <x:c r="J1" s="43"/>
      <x:c r="K1" s="43"/>
      <x:c r="L1" s="43"/>
      <x:c r="M1" s="43"/>
      <x:c r="N1" s="43"/>
      <x:c r="O1" s="43"/>
      <x:c r="P1" s="43"/>
      <x:c r="Q1" s="1"/>
      <x:c r="R1" s="1"/>
      <x:c r="S1" s="1"/>
      <x:c r="T1" s="1"/>
    </x:row>
    <x:row r="2" ht="24" customHeight="1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 t="str">
        <x:v>Datum:</x:v>
      </x:c>
      <x:c r="S2" s="44"/>
      <x:c r="T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</x:row>
    <x:row r="4" ht="40" customHeight="1">
      <x:c r="A4" s="47" t="str">
        <x:v>Platz</x:v>
      </x:c>
      <x:c r="B4" s="47" t="str">
        <x:v>Spieler</x:v>
      </x:c>
      <x:c r="C4" s="47" t="str">
        <x:v>Verein</x:v>
      </x:c>
      <x:c r="D4" s="47" t="str">
        <x:v>Passnummer</x:v>
      </x:c>
      <x:c r="E4" s="47" t="str">
        <x:v>Partiepunkte</x:v>
      </x:c>
      <x:c r="F4" s="47" t="str">
        <x:v>Bälle</x:v>
      </x:c>
      <x:c r="G4" s="47" t="str">
        <x:v>Aufnahmen</x:v>
      </x:c>
      <x:c r="H4" s="47" t="str">
        <x:v>BED</x:v>
      </x:c>
      <x:c r="I4" s="47" t="str">
        <x:v>DS</x:v>
      </x:c>
      <x:c r="J4" s="47" t="str">
        <x:v>HS</x:v>
      </x:c>
      <x:c r="K4" s="1"/>
      <x:c r="L4" s="1"/>
      <x:c r="M4" s="1"/>
      <x:c r="N4" s="1"/>
      <x:c r="O4" s="1"/>
      <x:c r="P4" s="1"/>
      <x:c r="Q4" s="1"/>
      <x:c r="R4" s="1"/>
      <x:c r="S4" s="1"/>
      <x:c r="T4" s="1"/>
    </x:row>
    <x:row r="5" ht="24" customHeight="1">
      <x:c r="A5" s="1" t="n">
        <x:v>1</x:v>
      </x:c>
      <x:c r="B5" s="1" t="str">
        <x:f>IF(U5="","",INDEX(Teilnehmer!$B$2:$B$10,MATCH(U5,Teilnehmer!$A$2:$A$10,0)))</x:f>
      </x:c>
      <x:c r="C5" s="1" t="str">
        <x:f>IF(U5="","",INDEX(Teilnehmer!$D$2:$D$10,MATCH(U5,Teilnehmer!$A$2:$A$10,0)))</x:f>
      </x:c>
      <x:c r="D5" s="1" t="str">
        <x:f>IF(U5="","",INDEX(Teilnehmer!$C$2:$C$10,MATCH(U5,Teilnehmer!$A$2:$A$10,0)))</x:f>
      </x:c>
      <x:c r="E5" s="1" t="str">
        <x:f>IF(U5="","",INDEX(Teilnehmer!$I$2:$I$10,MATCH(U5,Teilnehmer!$A$2:$A$10,0))+SUM(IF(Finalrunde!U4=U5,IF(ISNUMBER(Finalrunde!D6),Finalrunde!D6,0),0),IF(Finalrunde!U5=U5,IF(ISNUMBER(Finalrunde!B9),Finalrunde!B9,0),0),IF(Finalrunde!U6=U5,IF(ISNUMBER(Finalrunde!H12),Finalrunde!H12,0),0),IF(Finalrunde!U7=U5,IF(ISNUMBER(Finalrunde!F15),Finalrunde!F15,0),0),IF(Finalrunde!U20=U5,IF(ISNUMBER(Finalrunde!D22),Finalrunde!D22,0),0),IF(Finalrunde!U21=U5,IF(ISNUMBER(Finalrunde!B25),Finalrunde!B25,0),0),IF(Finalrunde!U22=U5,IF(ISNUMBER(Finalrunde!H28),Finalrunde!H28,0),0),IF(Finalrunde!U23=U5,IF(ISNUMBER(Finalrunde!F31),Finalrunde!F31,0),0),IF(Finalrunde!U36=U5,IF(ISNUMBER(Finalrunde!D38),Finalrunde!D38,0),0),IF(Finalrunde!U37=U5,IF(ISNUMBER(Finalrunde!B41),Finalrunde!B41,0),0),IF(Finalrunde!U38=U5,IF(ISNUMBER(Finalrunde!H44),Finalrunde!H44,0),0),IF(Finalrunde!U39=U5,IF(ISNUMBER(Finalrunde!F47),Finalrunde!F47,0),0)))</x:f>
      </x:c>
      <x:c r="F5" s="1" t="str">
        <x:f>IF(U5="","",INDEX(Teilnehmer!$J$2:$J$10,MATCH(U5,Teilnehmer!$A$2:$A$10,0))+SUM(IF(Finalrunde!U4=U5,IF(ISNUMBER(Finalrunde!D5),Finalrunde!D5,0),0),IF(Finalrunde!U5=U5,IF(ISNUMBER(Finalrunde!B8),Finalrunde!B8,0),0),IF(Finalrunde!U6=U5,IF(ISNUMBER(Finalrunde!H11),Finalrunde!H11,0),0),IF(Finalrunde!U7=U5,IF(ISNUMBER(Finalrunde!F14),Finalrunde!F14,0),0),IF(Finalrunde!U20=U5,IF(ISNUMBER(Finalrunde!D21),Finalrunde!D21,0),0),IF(Finalrunde!U21=U5,IF(ISNUMBER(Finalrunde!B24),Finalrunde!B24,0),0),IF(Finalrunde!U22=U5,IF(ISNUMBER(Finalrunde!H27),Finalrunde!H27,0),0),IF(Finalrunde!U23=U5,IF(ISNUMBER(Finalrunde!F30),Finalrunde!F30,0),0),IF(Finalrunde!U36=U5,IF(ISNUMBER(Finalrunde!D37),Finalrunde!D37,0),0),IF(Finalrunde!U37=U5,IF(ISNUMBER(Finalrunde!B40),Finalrunde!B40,0),0),IF(Finalrunde!U38=U5,IF(ISNUMBER(Finalrunde!H43),Finalrunde!H43,0),0),IF(Finalrunde!U39=U5,IF(ISNUMBER(Finalrunde!F46),Finalrunde!F46,0),0)))</x:f>
      </x:c>
      <x:c r="G5" s="1" t="str">
        <x:f>IF(U5="","",INDEX(Teilnehmer!$K$2:$K$10,MATCH(U5,Teilnehmer!$A$2:$A$10,0))+SUM(IF(Finalrunde!U4=U5,IF(ISNUMBER(Finalrunde!E5),Finalrunde!E5,0),0),IF(Finalrunde!U5=U5,IF(ISNUMBER(Finalrunde!C8),Finalrunde!C8,0),0),IF(Finalrunde!U6=U5,IF(ISNUMBER(Finalrunde!I11),Finalrunde!I11,0),0),IF(Finalrunde!U7=U5,IF(ISNUMBER(Finalrunde!G14),Finalrunde!G14,0),0),IF(Finalrunde!U20=U5,IF(ISNUMBER(Finalrunde!E21),Finalrunde!E21,0),0),IF(Finalrunde!U21=U5,IF(ISNUMBER(Finalrunde!C24),Finalrunde!C24,0),0),IF(Finalrunde!U22=U5,IF(ISNUMBER(Finalrunde!I27),Finalrunde!I27,0),0),IF(Finalrunde!U23=U5,IF(ISNUMBER(Finalrunde!G30),Finalrunde!G30,0),0),IF(Finalrunde!U36=U5,IF(ISNUMBER(Finalrunde!E37),Finalrunde!E37,0),0),IF(Finalrunde!U37=U5,IF(ISNUMBER(Finalrunde!C40),Finalrunde!C40,0),0),IF(Finalrunde!U38=U5,IF(ISNUMBER(Finalrunde!I43),Finalrunde!I43,0),0),IF(Finalrunde!U39=U5,IF(ISNUMBER(Finalrunde!G46),Finalrunde!G46,0),0)))</x:f>
      </x:c>
      <x:c r="H5" s="73" t="str">
        <x:f>IF(U5="","",MAX(IF(U5=1,'Gruppe A'!Q4,0),IF(U5=4,'Gruppe A'!Q7,0),IF(U5=5,'Gruppe A'!Q10,0),IF(U5=8,'Gruppe A'!Q13,0),IF(U5=2,'Gruppe B'!Q4,0),IF(U5=3,'Gruppe B'!Q7,0),IF(U5=6,'Gruppe B'!Q10,0),IF(U5=7,'Gruppe B'!Q13,0),IF(U5=9,'Gruppe B'!Q16,0),IF(AND(Finalrunde!U4=U5,Finalrunde!D6=2,Finalrunde!E5&gt;0),Finalrunde!D5/Finalrunde!E5,0),IF(AND(Finalrunde!U5=U5,Finalrunde!B9=2,Finalrunde!C8&gt;0),Finalrunde!B8/Finalrunde!C8,0),IF(AND(Finalrunde!U6=U5,Finalrunde!H12=2,Finalrunde!I11&gt;0),Finalrunde!H11/Finalrunde!I11,0),IF(AND(Finalrunde!U7=U5,Finalrunde!F15=2,Finalrunde!G14&gt;0),Finalrunde!F14/Finalrunde!G14,0),IF(AND(Finalrunde!U20=U5,Finalrunde!D22=2,Finalrunde!E21&gt;0),Finalrunde!D21/Finalrunde!E21,0),IF(AND(Finalrunde!U21=U5,Finalrunde!B25=2,Finalrunde!C24&gt;0),Finalrunde!B24/Finalrunde!C24,0),IF(AND(Finalrunde!U22=U5,Finalrunde!H28=2,Finalrunde!I27&gt;0),Finalrunde!H27/Finalrunde!I27,0),IF(AND(Finalrunde!U23=U5,Finalrunde!F31=2,Finalrunde!G30&gt;0),Finalrunde!F30/Finalrunde!G30,0),IF(AND(Finalrunde!U36=U5,Finalrunde!D38=2,Finalrunde!E37&gt;0),Finalrunde!D37/Finalrunde!E37,0),IF(AND(Finalrunde!U37=U5,Finalrunde!B41=2,Finalrunde!C40&gt;0),Finalrunde!B40/Finalrunde!C40,0),IF(AND(Finalrunde!U38=U5,Finalrunde!H44=2,Finalrunde!I43&gt;0),Finalrunde!H43/Finalrunde!I43,0),IF(AND(Finalrunde!U39=U5,Finalrunde!F47=2,Finalrunde!G46&gt;0),Finalrunde!F46/Finalrunde!G46,0)))</x:f>
      </x:c>
      <x:c r="I5" s="73" t="str">
        <x:f>IF(G5&gt;0,TRUNC(F5/G5,3),"")</x:f>
      </x:c>
      <x:c r="J5" s="1" t="str">
        <x:f>IF(U5="","",MAX(INDEX(Teilnehmer!$M$2:$M$10,MATCH(U5,Teilnehmer!$A$2:$A$10,0)),IF(Finalrunde!U4=U5,IF(ISNUMBER(Finalrunde!E7),Finalrunde!E7,0),0),IF(Finalrunde!U5=U5,IF(ISNUMBER(Finalrunde!C10),Finalrunde!C10,0),0),IF(Finalrunde!U6=U5,IF(ISNUMBER(Finalrunde!I13),Finalrunde!I13,0),0),IF(Finalrunde!U7=U5,IF(ISNUMBER(Finalrunde!G16),Finalrunde!G16,0),0),IF(Finalrunde!U20=U5,IF(ISNUMBER(Finalrunde!E23),Finalrunde!E23,0),0),IF(Finalrunde!U21=U5,IF(ISNUMBER(Finalrunde!C26),Finalrunde!C26,0),0),IF(Finalrunde!U22=U5,IF(ISNUMBER(Finalrunde!I29),Finalrunde!I29,0),0),IF(Finalrunde!U23=U5,IF(ISNUMBER(Finalrunde!G32),Finalrunde!G32,0),0),IF(Finalrunde!U36=U5,IF(ISNUMBER(Finalrunde!E39),Finalrunde!E39,0),0),IF(Finalrunde!U37=U5,IF(ISNUMBER(Finalrunde!C42),Finalrunde!C42,0),0),IF(Finalrunde!U38=U5,IF(ISNUMBER(Finalrunde!I45),Finalrunde!I45,0),0),IF(Finalrunde!U39=U5,IF(ISNUMBER(Finalrunde!G48),Finalrunde!G48,0),0)))</x:f>
      </x:c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t="str">
        <x:f>IF(AND(ISNUMBER(Finalrunde!D22),ISNUMBER(Finalrunde!B25),Finalrunde!D22&lt;&gt;Finalrunde!B25),IF(Finalrunde!D22&gt;Finalrunde!B25,Finalrunde!U20,Finalrunde!U21),"")</x:f>
      </x:c>
    </x:row>
    <x:row r="6" ht="24" customHeight="1">
      <x:c r="A6" s="1" t="n">
        <x:v>2</x:v>
      </x:c>
      <x:c r="B6" s="1" t="str">
        <x:f>IF(U6="","",INDEX(Teilnehmer!$B$2:$B$10,MATCH(U6,Teilnehmer!$A$2:$A$10,0)))</x:f>
      </x:c>
      <x:c r="C6" s="1" t="str">
        <x:f>IF(U6="","",INDEX(Teilnehmer!$D$2:$D$10,MATCH(U6,Teilnehmer!$A$2:$A$10,0)))</x:f>
      </x:c>
      <x:c r="D6" s="1" t="str">
        <x:f>IF(U6="","",INDEX(Teilnehmer!$C$2:$C$10,MATCH(U6,Teilnehmer!$A$2:$A$10,0)))</x:f>
      </x:c>
      <x:c r="E6" s="1" t="str">
        <x:f>IF(U6="","",INDEX(Teilnehmer!$I$2:$I$10,MATCH(U6,Teilnehmer!$A$2:$A$10,0))+SUM(IF(Finalrunde!U4=U6,IF(ISNUMBER(Finalrunde!D6),Finalrunde!D6,0),0),IF(Finalrunde!U5=U6,IF(ISNUMBER(Finalrunde!B9),Finalrunde!B9,0),0),IF(Finalrunde!U6=U6,IF(ISNUMBER(Finalrunde!H12),Finalrunde!H12,0),0),IF(Finalrunde!U7=U6,IF(ISNUMBER(Finalrunde!F15),Finalrunde!F15,0),0),IF(Finalrunde!U20=U6,IF(ISNUMBER(Finalrunde!D22),Finalrunde!D22,0),0),IF(Finalrunde!U21=U6,IF(ISNUMBER(Finalrunde!B25),Finalrunde!B25,0),0),IF(Finalrunde!U22=U6,IF(ISNUMBER(Finalrunde!H28),Finalrunde!H28,0),0),IF(Finalrunde!U23=U6,IF(ISNUMBER(Finalrunde!F31),Finalrunde!F31,0),0),IF(Finalrunde!U36=U6,IF(ISNUMBER(Finalrunde!D38),Finalrunde!D38,0),0),IF(Finalrunde!U37=U6,IF(ISNUMBER(Finalrunde!B41),Finalrunde!B41,0),0),IF(Finalrunde!U38=U6,IF(ISNUMBER(Finalrunde!H44),Finalrunde!H44,0),0),IF(Finalrunde!U39=U6,IF(ISNUMBER(Finalrunde!F47),Finalrunde!F47,0),0)))</x:f>
      </x:c>
      <x:c r="F6" s="1" t="str">
        <x:f>IF(U6="","",INDEX(Teilnehmer!$J$2:$J$10,MATCH(U6,Teilnehmer!$A$2:$A$10,0))+SUM(IF(Finalrunde!U4=U6,IF(ISNUMBER(Finalrunde!D5),Finalrunde!D5,0),0),IF(Finalrunde!U5=U6,IF(ISNUMBER(Finalrunde!B8),Finalrunde!B8,0),0),IF(Finalrunde!U6=U6,IF(ISNUMBER(Finalrunde!H11),Finalrunde!H11,0),0),IF(Finalrunde!U7=U6,IF(ISNUMBER(Finalrunde!F14),Finalrunde!F14,0),0),IF(Finalrunde!U20=U6,IF(ISNUMBER(Finalrunde!D21),Finalrunde!D21,0),0),IF(Finalrunde!U21=U6,IF(ISNUMBER(Finalrunde!B24),Finalrunde!B24,0),0),IF(Finalrunde!U22=U6,IF(ISNUMBER(Finalrunde!H27),Finalrunde!H27,0),0),IF(Finalrunde!U23=U6,IF(ISNUMBER(Finalrunde!F30),Finalrunde!F30,0),0),IF(Finalrunde!U36=U6,IF(ISNUMBER(Finalrunde!D37),Finalrunde!D37,0),0),IF(Finalrunde!U37=U6,IF(ISNUMBER(Finalrunde!B40),Finalrunde!B40,0),0),IF(Finalrunde!U38=U6,IF(ISNUMBER(Finalrunde!H43),Finalrunde!H43,0),0),IF(Finalrunde!U39=U6,IF(ISNUMBER(Finalrunde!F46),Finalrunde!F46,0),0)))</x:f>
      </x:c>
      <x:c r="G6" s="1" t="str">
        <x:f>IF(U6="","",INDEX(Teilnehmer!$K$2:$K$10,MATCH(U6,Teilnehmer!$A$2:$A$10,0))+SUM(IF(Finalrunde!U4=U6,IF(ISNUMBER(Finalrunde!E5),Finalrunde!E5,0),0),IF(Finalrunde!U5=U6,IF(ISNUMBER(Finalrunde!C8),Finalrunde!C8,0),0),IF(Finalrunde!U6=U6,IF(ISNUMBER(Finalrunde!I11),Finalrunde!I11,0),0),IF(Finalrunde!U7=U6,IF(ISNUMBER(Finalrunde!G14),Finalrunde!G14,0),0),IF(Finalrunde!U20=U6,IF(ISNUMBER(Finalrunde!E21),Finalrunde!E21,0),0),IF(Finalrunde!U21=U6,IF(ISNUMBER(Finalrunde!C24),Finalrunde!C24,0),0),IF(Finalrunde!U22=U6,IF(ISNUMBER(Finalrunde!I27),Finalrunde!I27,0),0),IF(Finalrunde!U23=U6,IF(ISNUMBER(Finalrunde!G30),Finalrunde!G30,0),0),IF(Finalrunde!U36=U6,IF(ISNUMBER(Finalrunde!E37),Finalrunde!E37,0),0),IF(Finalrunde!U37=U6,IF(ISNUMBER(Finalrunde!C40),Finalrunde!C40,0),0),IF(Finalrunde!U38=U6,IF(ISNUMBER(Finalrunde!I43),Finalrunde!I43,0),0),IF(Finalrunde!U39=U6,IF(ISNUMBER(Finalrunde!G46),Finalrunde!G46,0),0)))</x:f>
      </x:c>
      <x:c r="H6" s="73" t="str">
        <x:f>IF(U6="","",MAX(IF(U6=1,'Gruppe A'!Q4,0),IF(U6=4,'Gruppe A'!Q7,0),IF(U6=5,'Gruppe A'!Q10,0),IF(U6=8,'Gruppe A'!Q13,0),IF(U6=2,'Gruppe B'!Q4,0),IF(U6=3,'Gruppe B'!Q7,0),IF(U6=6,'Gruppe B'!Q10,0),IF(U6=7,'Gruppe B'!Q13,0),IF(U6=9,'Gruppe B'!Q16,0),IF(AND(Finalrunde!U4=U6,Finalrunde!D6=2,Finalrunde!E5&gt;0),Finalrunde!D5/Finalrunde!E5,0),IF(AND(Finalrunde!U5=U6,Finalrunde!B9=2,Finalrunde!C8&gt;0),Finalrunde!B8/Finalrunde!C8,0),IF(AND(Finalrunde!U6=U6,Finalrunde!H12=2,Finalrunde!I11&gt;0),Finalrunde!H11/Finalrunde!I11,0),IF(AND(Finalrunde!U7=U6,Finalrunde!F15=2,Finalrunde!G14&gt;0),Finalrunde!F14/Finalrunde!G14,0),IF(AND(Finalrunde!U20=U6,Finalrunde!D22=2,Finalrunde!E21&gt;0),Finalrunde!D21/Finalrunde!E21,0),IF(AND(Finalrunde!U21=U6,Finalrunde!B25=2,Finalrunde!C24&gt;0),Finalrunde!B24/Finalrunde!C24,0),IF(AND(Finalrunde!U22=U6,Finalrunde!H28=2,Finalrunde!I27&gt;0),Finalrunde!H27/Finalrunde!I27,0),IF(AND(Finalrunde!U23=U6,Finalrunde!F31=2,Finalrunde!G30&gt;0),Finalrunde!F30/Finalrunde!G30,0),IF(AND(Finalrunde!U36=U6,Finalrunde!D38=2,Finalrunde!E37&gt;0),Finalrunde!D37/Finalrunde!E37,0),IF(AND(Finalrunde!U37=U6,Finalrunde!B41=2,Finalrunde!C40&gt;0),Finalrunde!B40/Finalrunde!C40,0),IF(AND(Finalrunde!U38=U6,Finalrunde!H44=2,Finalrunde!I43&gt;0),Finalrunde!H43/Finalrunde!I43,0),IF(AND(Finalrunde!U39=U6,Finalrunde!F47=2,Finalrunde!G46&gt;0),Finalrunde!F46/Finalrunde!G46,0)))</x:f>
      </x:c>
      <x:c r="I6" s="73" t="str">
        <x:f>IF(G6&gt;0,TRUNC(F6/G6,3),"")</x:f>
      </x:c>
      <x:c r="J6" s="1" t="str">
        <x:f>IF(U6="","",MAX(INDEX(Teilnehmer!$M$2:$M$10,MATCH(U6,Teilnehmer!$A$2:$A$10,0)),IF(Finalrunde!U4=U6,IF(ISNUMBER(Finalrunde!E7),Finalrunde!E7,0),0),IF(Finalrunde!U5=U6,IF(ISNUMBER(Finalrunde!C10),Finalrunde!C10,0),0),IF(Finalrunde!U6=U6,IF(ISNUMBER(Finalrunde!I13),Finalrunde!I13,0),0),IF(Finalrunde!U7=U6,IF(ISNUMBER(Finalrunde!G16),Finalrunde!G16,0),0),IF(Finalrunde!U20=U6,IF(ISNUMBER(Finalrunde!E23),Finalrunde!E23,0),0),IF(Finalrunde!U21=U6,IF(ISNUMBER(Finalrunde!C26),Finalrunde!C26,0),0),IF(Finalrunde!U22=U6,IF(ISNUMBER(Finalrunde!I29),Finalrunde!I29,0),0),IF(Finalrunde!U23=U6,IF(ISNUMBER(Finalrunde!G32),Finalrunde!G32,0),0),IF(Finalrunde!U36=U6,IF(ISNUMBER(Finalrunde!E39),Finalrunde!E39,0),0),IF(Finalrunde!U37=U6,IF(ISNUMBER(Finalrunde!C42),Finalrunde!C42,0),0),IF(Finalrunde!U38=U6,IF(ISNUMBER(Finalrunde!I45),Finalrunde!I45,0),0),IF(Finalrunde!U39=U6,IF(ISNUMBER(Finalrunde!G48),Finalrunde!G48,0),0)))</x:f>
      </x:c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t="str">
        <x:f>IF(AND(ISNUMBER(Finalrunde!D22),ISNUMBER(Finalrunde!B25),Finalrunde!D22&lt;&gt;Finalrunde!B25),IF(Finalrunde!D22&lt;Finalrunde!B25,Finalrunde!U20,Finalrunde!U21),"")</x:f>
      </x:c>
    </x:row>
    <x:row r="7" ht="24" customHeight="1">
      <x:c r="A7" s="1" t="n">
        <x:v>3</x:v>
      </x:c>
      <x:c r="B7" s="1" t="str">
        <x:f>IF(U7="","",INDEX(Teilnehmer!$B$2:$B$10,MATCH(U7,Teilnehmer!$A$2:$A$10,0)))</x:f>
      </x:c>
      <x:c r="C7" s="1" t="str">
        <x:f>IF(U7="","",INDEX(Teilnehmer!$D$2:$D$10,MATCH(U7,Teilnehmer!$A$2:$A$10,0)))</x:f>
      </x:c>
      <x:c r="D7" s="1" t="str">
        <x:f>IF(U7="","",INDEX(Teilnehmer!$C$2:$C$10,MATCH(U7,Teilnehmer!$A$2:$A$10,0)))</x:f>
      </x:c>
      <x:c r="E7" s="1" t="str">
        <x:f>IF(U7="","",INDEX(Teilnehmer!$I$2:$I$10,MATCH(U7,Teilnehmer!$A$2:$A$10,0))+SUM(IF(Finalrunde!U4=U7,IF(ISNUMBER(Finalrunde!D6),Finalrunde!D6,0),0),IF(Finalrunde!U5=U7,IF(ISNUMBER(Finalrunde!B9),Finalrunde!B9,0),0),IF(Finalrunde!U6=U7,IF(ISNUMBER(Finalrunde!H12),Finalrunde!H12,0),0),IF(Finalrunde!U7=U7,IF(ISNUMBER(Finalrunde!F15),Finalrunde!F15,0),0),IF(Finalrunde!U20=U7,IF(ISNUMBER(Finalrunde!D22),Finalrunde!D22,0),0),IF(Finalrunde!U21=U7,IF(ISNUMBER(Finalrunde!B25),Finalrunde!B25,0),0),IF(Finalrunde!U22=U7,IF(ISNUMBER(Finalrunde!H28),Finalrunde!H28,0),0),IF(Finalrunde!U23=U7,IF(ISNUMBER(Finalrunde!F31),Finalrunde!F31,0),0),IF(Finalrunde!U36=U7,IF(ISNUMBER(Finalrunde!D38),Finalrunde!D38,0),0),IF(Finalrunde!U37=U7,IF(ISNUMBER(Finalrunde!B41),Finalrunde!B41,0),0),IF(Finalrunde!U38=U7,IF(ISNUMBER(Finalrunde!H44),Finalrunde!H44,0),0),IF(Finalrunde!U39=U7,IF(ISNUMBER(Finalrunde!F47),Finalrunde!F47,0),0)))</x:f>
      </x:c>
      <x:c r="F7" s="1" t="str">
        <x:f>IF(U7="","",INDEX(Teilnehmer!$J$2:$J$10,MATCH(U7,Teilnehmer!$A$2:$A$10,0))+SUM(IF(Finalrunde!U4=U7,IF(ISNUMBER(Finalrunde!D5),Finalrunde!D5,0),0),IF(Finalrunde!U5=U7,IF(ISNUMBER(Finalrunde!B8),Finalrunde!B8,0),0),IF(Finalrunde!U6=U7,IF(ISNUMBER(Finalrunde!H11),Finalrunde!H11,0),0),IF(Finalrunde!U7=U7,IF(ISNUMBER(Finalrunde!F14),Finalrunde!F14,0),0),IF(Finalrunde!U20=U7,IF(ISNUMBER(Finalrunde!D21),Finalrunde!D21,0),0),IF(Finalrunde!U21=U7,IF(ISNUMBER(Finalrunde!B24),Finalrunde!B24,0),0),IF(Finalrunde!U22=U7,IF(ISNUMBER(Finalrunde!H27),Finalrunde!H27,0),0),IF(Finalrunde!U23=U7,IF(ISNUMBER(Finalrunde!F30),Finalrunde!F30,0),0),IF(Finalrunde!U36=U7,IF(ISNUMBER(Finalrunde!D37),Finalrunde!D37,0),0),IF(Finalrunde!U37=U7,IF(ISNUMBER(Finalrunde!B40),Finalrunde!B40,0),0),IF(Finalrunde!U38=U7,IF(ISNUMBER(Finalrunde!H43),Finalrunde!H43,0),0),IF(Finalrunde!U39=U7,IF(ISNUMBER(Finalrunde!F46),Finalrunde!F46,0),0)))</x:f>
      </x:c>
      <x:c r="G7" s="1" t="str">
        <x:f>IF(U7="","",INDEX(Teilnehmer!$K$2:$K$10,MATCH(U7,Teilnehmer!$A$2:$A$10,0))+SUM(IF(Finalrunde!U4=U7,IF(ISNUMBER(Finalrunde!E5),Finalrunde!E5,0),0),IF(Finalrunde!U5=U7,IF(ISNUMBER(Finalrunde!C8),Finalrunde!C8,0),0),IF(Finalrunde!U6=U7,IF(ISNUMBER(Finalrunde!I11),Finalrunde!I11,0),0),IF(Finalrunde!U7=U7,IF(ISNUMBER(Finalrunde!G14),Finalrunde!G14,0),0),IF(Finalrunde!U20=U7,IF(ISNUMBER(Finalrunde!E21),Finalrunde!E21,0),0),IF(Finalrunde!U21=U7,IF(ISNUMBER(Finalrunde!C24),Finalrunde!C24,0),0),IF(Finalrunde!U22=U7,IF(ISNUMBER(Finalrunde!I27),Finalrunde!I27,0),0),IF(Finalrunde!U23=U7,IF(ISNUMBER(Finalrunde!G30),Finalrunde!G30,0),0),IF(Finalrunde!U36=U7,IF(ISNUMBER(Finalrunde!E37),Finalrunde!E37,0),0),IF(Finalrunde!U37=U7,IF(ISNUMBER(Finalrunde!C40),Finalrunde!C40,0),0),IF(Finalrunde!U38=U7,IF(ISNUMBER(Finalrunde!I43),Finalrunde!I43,0),0),IF(Finalrunde!U39=U7,IF(ISNUMBER(Finalrunde!G46),Finalrunde!G46,0),0)))</x:f>
      </x:c>
      <x:c r="H7" s="73" t="str">
        <x:f>IF(U7="","",MAX(IF(U7=1,'Gruppe A'!Q4,0),IF(U7=4,'Gruppe A'!Q7,0),IF(U7=5,'Gruppe A'!Q10,0),IF(U7=8,'Gruppe A'!Q13,0),IF(U7=2,'Gruppe B'!Q4,0),IF(U7=3,'Gruppe B'!Q7,0),IF(U7=6,'Gruppe B'!Q10,0),IF(U7=7,'Gruppe B'!Q13,0),IF(U7=9,'Gruppe B'!Q16,0),IF(AND(Finalrunde!U4=U7,Finalrunde!D6=2,Finalrunde!E5&gt;0),Finalrunde!D5/Finalrunde!E5,0),IF(AND(Finalrunde!U5=U7,Finalrunde!B9=2,Finalrunde!C8&gt;0),Finalrunde!B8/Finalrunde!C8,0),IF(AND(Finalrunde!U6=U7,Finalrunde!H12=2,Finalrunde!I11&gt;0),Finalrunde!H11/Finalrunde!I11,0),IF(AND(Finalrunde!U7=U7,Finalrunde!F15=2,Finalrunde!G14&gt;0),Finalrunde!F14/Finalrunde!G14,0),IF(AND(Finalrunde!U20=U7,Finalrunde!D22=2,Finalrunde!E21&gt;0),Finalrunde!D21/Finalrunde!E21,0),IF(AND(Finalrunde!U21=U7,Finalrunde!B25=2,Finalrunde!C24&gt;0),Finalrunde!B24/Finalrunde!C24,0),IF(AND(Finalrunde!U22=U7,Finalrunde!H28=2,Finalrunde!I27&gt;0),Finalrunde!H27/Finalrunde!I27,0),IF(AND(Finalrunde!U23=U7,Finalrunde!F31=2,Finalrunde!G30&gt;0),Finalrunde!F30/Finalrunde!G30,0),IF(AND(Finalrunde!U36=U7,Finalrunde!D38=2,Finalrunde!E37&gt;0),Finalrunde!D37/Finalrunde!E37,0),IF(AND(Finalrunde!U37=U7,Finalrunde!B41=2,Finalrunde!C40&gt;0),Finalrunde!B40/Finalrunde!C40,0),IF(AND(Finalrunde!U38=U7,Finalrunde!H44=2,Finalrunde!I43&gt;0),Finalrunde!H43/Finalrunde!I43,0),IF(AND(Finalrunde!U39=U7,Finalrunde!F47=2,Finalrunde!G46&gt;0),Finalrunde!F46/Finalrunde!G46,0)))</x:f>
      </x:c>
      <x:c r="I7" s="73" t="str">
        <x:f>IF(G7&gt;0,TRUNC(F7/G7,3),"")</x:f>
      </x:c>
      <x:c r="J7" s="1" t="str">
        <x:f>IF(U7="","",MAX(INDEX(Teilnehmer!$M$2:$M$10,MATCH(U7,Teilnehmer!$A$2:$A$10,0)),IF(Finalrunde!U4=U7,IF(ISNUMBER(Finalrunde!E7),Finalrunde!E7,0),0),IF(Finalrunde!U5=U7,IF(ISNUMBER(Finalrunde!C10),Finalrunde!C10,0),0),IF(Finalrunde!U6=U7,IF(ISNUMBER(Finalrunde!I13),Finalrunde!I13,0),0),IF(Finalrunde!U7=U7,IF(ISNUMBER(Finalrunde!G16),Finalrunde!G16,0),0),IF(Finalrunde!U20=U7,IF(ISNUMBER(Finalrunde!E23),Finalrunde!E23,0),0),IF(Finalrunde!U21=U7,IF(ISNUMBER(Finalrunde!C26),Finalrunde!C26,0),0),IF(Finalrunde!U22=U7,IF(ISNUMBER(Finalrunde!I29),Finalrunde!I29,0),0),IF(Finalrunde!U23=U7,IF(ISNUMBER(Finalrunde!G32),Finalrunde!G32,0),0),IF(Finalrunde!U36=U7,IF(ISNUMBER(Finalrunde!E39),Finalrunde!E39,0),0),IF(Finalrunde!U37=U7,IF(ISNUMBER(Finalrunde!C42),Finalrunde!C42,0),0),IF(Finalrunde!U38=U7,IF(ISNUMBER(Finalrunde!I45),Finalrunde!I45,0),0),IF(Finalrunde!U39=U7,IF(ISNUMBER(Finalrunde!G48),Finalrunde!G48,0),0)))</x:f>
      </x:c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t="str">
        <x:f>IF(AND(ISNUMBER(Finalrunde!H28),ISNUMBER(Finalrunde!F31),Finalrunde!H28&lt;&gt;Finalrunde!F31),IF(Finalrunde!H28&gt;Finalrunde!F31,Finalrunde!U22,Finalrunde!U23),"")</x:f>
      </x:c>
    </x:row>
    <x:row r="8" ht="24" customHeight="1">
      <x:c r="A8" s="1" t="n">
        <x:v>4</x:v>
      </x:c>
      <x:c r="B8" s="1" t="str">
        <x:f>IF(U8="","",INDEX(Teilnehmer!$B$2:$B$10,MATCH(U8,Teilnehmer!$A$2:$A$10,0)))</x:f>
      </x:c>
      <x:c r="C8" s="1" t="str">
        <x:f>IF(U8="","",INDEX(Teilnehmer!$D$2:$D$10,MATCH(U8,Teilnehmer!$A$2:$A$10,0)))</x:f>
      </x:c>
      <x:c r="D8" s="1" t="str">
        <x:f>IF(U8="","",INDEX(Teilnehmer!$C$2:$C$10,MATCH(U8,Teilnehmer!$A$2:$A$10,0)))</x:f>
      </x:c>
      <x:c r="E8" s="1" t="str">
        <x:f>IF(U8="","",INDEX(Teilnehmer!$I$2:$I$10,MATCH(U8,Teilnehmer!$A$2:$A$10,0))+SUM(IF(Finalrunde!U4=U8,IF(ISNUMBER(Finalrunde!D6),Finalrunde!D6,0),0),IF(Finalrunde!U5=U8,IF(ISNUMBER(Finalrunde!B9),Finalrunde!B9,0),0),IF(Finalrunde!U6=U8,IF(ISNUMBER(Finalrunde!H12),Finalrunde!H12,0),0),IF(Finalrunde!U7=U8,IF(ISNUMBER(Finalrunde!F15),Finalrunde!F15,0),0),IF(Finalrunde!U20=U8,IF(ISNUMBER(Finalrunde!D22),Finalrunde!D22,0),0),IF(Finalrunde!U21=U8,IF(ISNUMBER(Finalrunde!B25),Finalrunde!B25,0),0),IF(Finalrunde!U22=U8,IF(ISNUMBER(Finalrunde!H28),Finalrunde!H28,0),0),IF(Finalrunde!U23=U8,IF(ISNUMBER(Finalrunde!F31),Finalrunde!F31,0),0),IF(Finalrunde!U36=U8,IF(ISNUMBER(Finalrunde!D38),Finalrunde!D38,0),0),IF(Finalrunde!U37=U8,IF(ISNUMBER(Finalrunde!B41),Finalrunde!B41,0),0),IF(Finalrunde!U38=U8,IF(ISNUMBER(Finalrunde!H44),Finalrunde!H44,0),0),IF(Finalrunde!U39=U8,IF(ISNUMBER(Finalrunde!F47),Finalrunde!F47,0),0)))</x:f>
      </x:c>
      <x:c r="F8" s="1" t="str">
        <x:f>IF(U8="","",INDEX(Teilnehmer!$J$2:$J$10,MATCH(U8,Teilnehmer!$A$2:$A$10,0))+SUM(IF(Finalrunde!U4=U8,IF(ISNUMBER(Finalrunde!D5),Finalrunde!D5,0),0),IF(Finalrunde!U5=U8,IF(ISNUMBER(Finalrunde!B8),Finalrunde!B8,0),0),IF(Finalrunde!U6=U8,IF(ISNUMBER(Finalrunde!H11),Finalrunde!H11,0),0),IF(Finalrunde!U7=U8,IF(ISNUMBER(Finalrunde!F14),Finalrunde!F14,0),0),IF(Finalrunde!U20=U8,IF(ISNUMBER(Finalrunde!D21),Finalrunde!D21,0),0),IF(Finalrunde!U21=U8,IF(ISNUMBER(Finalrunde!B24),Finalrunde!B24,0),0),IF(Finalrunde!U22=U8,IF(ISNUMBER(Finalrunde!H27),Finalrunde!H27,0),0),IF(Finalrunde!U23=U8,IF(ISNUMBER(Finalrunde!F30),Finalrunde!F30,0),0),IF(Finalrunde!U36=U8,IF(ISNUMBER(Finalrunde!D37),Finalrunde!D37,0),0),IF(Finalrunde!U37=U8,IF(ISNUMBER(Finalrunde!B40),Finalrunde!B40,0),0),IF(Finalrunde!U38=U8,IF(ISNUMBER(Finalrunde!H43),Finalrunde!H43,0),0),IF(Finalrunde!U39=U8,IF(ISNUMBER(Finalrunde!F46),Finalrunde!F46,0),0)))</x:f>
      </x:c>
      <x:c r="G8" s="1" t="str">
        <x:f>IF(U8="","",INDEX(Teilnehmer!$K$2:$K$10,MATCH(U8,Teilnehmer!$A$2:$A$10,0))+SUM(IF(Finalrunde!U4=U8,IF(ISNUMBER(Finalrunde!E5),Finalrunde!E5,0),0),IF(Finalrunde!U5=U8,IF(ISNUMBER(Finalrunde!C8),Finalrunde!C8,0),0),IF(Finalrunde!U6=U8,IF(ISNUMBER(Finalrunde!I11),Finalrunde!I11,0),0),IF(Finalrunde!U7=U8,IF(ISNUMBER(Finalrunde!G14),Finalrunde!G14,0),0),IF(Finalrunde!U20=U8,IF(ISNUMBER(Finalrunde!E21),Finalrunde!E21,0),0),IF(Finalrunde!U21=U8,IF(ISNUMBER(Finalrunde!C24),Finalrunde!C24,0),0),IF(Finalrunde!U22=U8,IF(ISNUMBER(Finalrunde!I27),Finalrunde!I27,0),0),IF(Finalrunde!U23=U8,IF(ISNUMBER(Finalrunde!G30),Finalrunde!G30,0),0),IF(Finalrunde!U36=U8,IF(ISNUMBER(Finalrunde!E37),Finalrunde!E37,0),0),IF(Finalrunde!U37=U8,IF(ISNUMBER(Finalrunde!C40),Finalrunde!C40,0),0),IF(Finalrunde!U38=U8,IF(ISNUMBER(Finalrunde!I43),Finalrunde!I43,0),0),IF(Finalrunde!U39=U8,IF(ISNUMBER(Finalrunde!G46),Finalrunde!G46,0),0)))</x:f>
      </x:c>
      <x:c r="H8" s="73" t="str">
        <x:f>IF(U8="","",MAX(IF(U8=1,'Gruppe A'!Q4,0),IF(U8=4,'Gruppe A'!Q7,0),IF(U8=5,'Gruppe A'!Q10,0),IF(U8=8,'Gruppe A'!Q13,0),IF(U8=2,'Gruppe B'!Q4,0),IF(U8=3,'Gruppe B'!Q7,0),IF(U8=6,'Gruppe B'!Q10,0),IF(U8=7,'Gruppe B'!Q13,0),IF(U8=9,'Gruppe B'!Q16,0),IF(AND(Finalrunde!U4=U8,Finalrunde!D6=2,Finalrunde!E5&gt;0),Finalrunde!D5/Finalrunde!E5,0),IF(AND(Finalrunde!U5=U8,Finalrunde!B9=2,Finalrunde!C8&gt;0),Finalrunde!B8/Finalrunde!C8,0),IF(AND(Finalrunde!U6=U8,Finalrunde!H12=2,Finalrunde!I11&gt;0),Finalrunde!H11/Finalrunde!I11,0),IF(AND(Finalrunde!U7=U8,Finalrunde!F15=2,Finalrunde!G14&gt;0),Finalrunde!F14/Finalrunde!G14,0),IF(AND(Finalrunde!U20=U8,Finalrunde!D22=2,Finalrunde!E21&gt;0),Finalrunde!D21/Finalrunde!E21,0),IF(AND(Finalrunde!U21=U8,Finalrunde!B25=2,Finalrunde!C24&gt;0),Finalrunde!B24/Finalrunde!C24,0),IF(AND(Finalrunde!U22=U8,Finalrunde!H28=2,Finalrunde!I27&gt;0),Finalrunde!H27/Finalrunde!I27,0),IF(AND(Finalrunde!U23=U8,Finalrunde!F31=2,Finalrunde!G30&gt;0),Finalrunde!F30/Finalrunde!G30,0),IF(AND(Finalrunde!U36=U8,Finalrunde!D38=2,Finalrunde!E37&gt;0),Finalrunde!D37/Finalrunde!E37,0),IF(AND(Finalrunde!U37=U8,Finalrunde!B41=2,Finalrunde!C40&gt;0),Finalrunde!B40/Finalrunde!C40,0),IF(AND(Finalrunde!U38=U8,Finalrunde!H44=2,Finalrunde!I43&gt;0),Finalrunde!H43/Finalrunde!I43,0),IF(AND(Finalrunde!U39=U8,Finalrunde!F47=2,Finalrunde!G46&gt;0),Finalrunde!F46/Finalrunde!G46,0)))</x:f>
      </x:c>
      <x:c r="I8" s="73" t="str">
        <x:f>IF(G8&gt;0,TRUNC(F8/G8,3),"")</x:f>
      </x:c>
      <x:c r="J8" s="1" t="str">
        <x:f>IF(U8="","",MAX(INDEX(Teilnehmer!$M$2:$M$10,MATCH(U8,Teilnehmer!$A$2:$A$10,0)),IF(Finalrunde!U4=U8,IF(ISNUMBER(Finalrunde!E7),Finalrunde!E7,0),0),IF(Finalrunde!U5=U8,IF(ISNUMBER(Finalrunde!C10),Finalrunde!C10,0),0),IF(Finalrunde!U6=U8,IF(ISNUMBER(Finalrunde!I13),Finalrunde!I13,0),0),IF(Finalrunde!U7=U8,IF(ISNUMBER(Finalrunde!G16),Finalrunde!G16,0),0),IF(Finalrunde!U20=U8,IF(ISNUMBER(Finalrunde!E23),Finalrunde!E23,0),0),IF(Finalrunde!U21=U8,IF(ISNUMBER(Finalrunde!C26),Finalrunde!C26,0),0),IF(Finalrunde!U22=U8,IF(ISNUMBER(Finalrunde!I29),Finalrunde!I29,0),0),IF(Finalrunde!U23=U8,IF(ISNUMBER(Finalrunde!G32),Finalrunde!G32,0),0),IF(Finalrunde!U36=U8,IF(ISNUMBER(Finalrunde!E39),Finalrunde!E39,0),0),IF(Finalrunde!U37=U8,IF(ISNUMBER(Finalrunde!C42),Finalrunde!C42,0),0),IF(Finalrunde!U38=U8,IF(ISNUMBER(Finalrunde!I45),Finalrunde!I45,0),0),IF(Finalrunde!U39=U8,IF(ISNUMBER(Finalrunde!G48),Finalrunde!G48,0),0)))</x:f>
      </x:c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t="str">
        <x:f>IF(AND(ISNUMBER(Finalrunde!H28),ISNUMBER(Finalrunde!F31),Finalrunde!H28&lt;&gt;Finalrunde!F31),IF(Finalrunde!H28&lt;Finalrunde!F31,Finalrunde!U22,Finalrunde!U23),"")</x:f>
      </x:c>
    </x:row>
    <x:row r="9" ht="24" customHeight="1">
      <x:c r="A9" s="1" t="n">
        <x:v>5</x:v>
      </x:c>
      <x:c r="B9" s="1" t="str">
        <x:f>IF(U9="","",INDEX(Teilnehmer!$B$2:$B$10,MATCH(U9,Teilnehmer!$A$2:$A$10,0)))</x:f>
      </x:c>
      <x:c r="C9" s="1" t="str">
        <x:f>IF(U9="","",INDEX(Teilnehmer!$D$2:$D$10,MATCH(U9,Teilnehmer!$A$2:$A$10,0)))</x:f>
      </x:c>
      <x:c r="D9" s="1" t="str">
        <x:f>IF(U9="","",INDEX(Teilnehmer!$C$2:$C$10,MATCH(U9,Teilnehmer!$A$2:$A$10,0)))</x:f>
      </x:c>
      <x:c r="E9" s="1" t="str">
        <x:f>IF(U9="","",INDEX(Teilnehmer!$I$2:$I$10,MATCH(U9,Teilnehmer!$A$2:$A$10,0))+SUM(IF(Finalrunde!U4=U9,IF(ISNUMBER(Finalrunde!D6),Finalrunde!D6,0),0),IF(Finalrunde!U5=U9,IF(ISNUMBER(Finalrunde!B9),Finalrunde!B9,0),0),IF(Finalrunde!U6=U9,IF(ISNUMBER(Finalrunde!H12),Finalrunde!H12,0),0),IF(Finalrunde!U7=U9,IF(ISNUMBER(Finalrunde!F15),Finalrunde!F15,0),0),IF(Finalrunde!U20=U9,IF(ISNUMBER(Finalrunde!D22),Finalrunde!D22,0),0),IF(Finalrunde!U21=U9,IF(ISNUMBER(Finalrunde!B25),Finalrunde!B25,0),0),IF(Finalrunde!U22=U9,IF(ISNUMBER(Finalrunde!H28),Finalrunde!H28,0),0),IF(Finalrunde!U23=U9,IF(ISNUMBER(Finalrunde!F31),Finalrunde!F31,0),0),IF(Finalrunde!U36=U9,IF(ISNUMBER(Finalrunde!D38),Finalrunde!D38,0),0),IF(Finalrunde!U37=U9,IF(ISNUMBER(Finalrunde!B41),Finalrunde!B41,0),0),IF(Finalrunde!U38=U9,IF(ISNUMBER(Finalrunde!H44),Finalrunde!H44,0),0),IF(Finalrunde!U39=U9,IF(ISNUMBER(Finalrunde!F47),Finalrunde!F47,0),0)))</x:f>
      </x:c>
      <x:c r="F9" s="1" t="str">
        <x:f>IF(U9="","",INDEX(Teilnehmer!$J$2:$J$10,MATCH(U9,Teilnehmer!$A$2:$A$10,0))+SUM(IF(Finalrunde!U4=U9,IF(ISNUMBER(Finalrunde!D5),Finalrunde!D5,0),0),IF(Finalrunde!U5=U9,IF(ISNUMBER(Finalrunde!B8),Finalrunde!B8,0),0),IF(Finalrunde!U6=U9,IF(ISNUMBER(Finalrunde!H11),Finalrunde!H11,0),0),IF(Finalrunde!U7=U9,IF(ISNUMBER(Finalrunde!F14),Finalrunde!F14,0),0),IF(Finalrunde!U20=U9,IF(ISNUMBER(Finalrunde!D21),Finalrunde!D21,0),0),IF(Finalrunde!U21=U9,IF(ISNUMBER(Finalrunde!B24),Finalrunde!B24,0),0),IF(Finalrunde!U22=U9,IF(ISNUMBER(Finalrunde!H27),Finalrunde!H27,0),0),IF(Finalrunde!U23=U9,IF(ISNUMBER(Finalrunde!F30),Finalrunde!F30,0),0),IF(Finalrunde!U36=U9,IF(ISNUMBER(Finalrunde!D37),Finalrunde!D37,0),0),IF(Finalrunde!U37=U9,IF(ISNUMBER(Finalrunde!B40),Finalrunde!B40,0),0),IF(Finalrunde!U38=U9,IF(ISNUMBER(Finalrunde!H43),Finalrunde!H43,0),0),IF(Finalrunde!U39=U9,IF(ISNUMBER(Finalrunde!F46),Finalrunde!F46,0),0)))</x:f>
      </x:c>
      <x:c r="G9" s="1" t="str">
        <x:f>IF(U9="","",INDEX(Teilnehmer!$K$2:$K$10,MATCH(U9,Teilnehmer!$A$2:$A$10,0))+SUM(IF(Finalrunde!U4=U9,IF(ISNUMBER(Finalrunde!E5),Finalrunde!E5,0),0),IF(Finalrunde!U5=U9,IF(ISNUMBER(Finalrunde!C8),Finalrunde!C8,0),0),IF(Finalrunde!U6=U9,IF(ISNUMBER(Finalrunde!I11),Finalrunde!I11,0),0),IF(Finalrunde!U7=U9,IF(ISNUMBER(Finalrunde!G14),Finalrunde!G14,0),0),IF(Finalrunde!U20=U9,IF(ISNUMBER(Finalrunde!E21),Finalrunde!E21,0),0),IF(Finalrunde!U21=U9,IF(ISNUMBER(Finalrunde!C24),Finalrunde!C24,0),0),IF(Finalrunde!U22=U9,IF(ISNUMBER(Finalrunde!I27),Finalrunde!I27,0),0),IF(Finalrunde!U23=U9,IF(ISNUMBER(Finalrunde!G30),Finalrunde!G30,0),0),IF(Finalrunde!U36=U9,IF(ISNUMBER(Finalrunde!E37),Finalrunde!E37,0),0),IF(Finalrunde!U37=U9,IF(ISNUMBER(Finalrunde!C40),Finalrunde!C40,0),0),IF(Finalrunde!U38=U9,IF(ISNUMBER(Finalrunde!I43),Finalrunde!I43,0),0),IF(Finalrunde!U39=U9,IF(ISNUMBER(Finalrunde!G46),Finalrunde!G46,0),0)))</x:f>
      </x:c>
      <x:c r="H9" s="73" t="str">
        <x:f>IF(U9="","",MAX(IF(U9=1,'Gruppe A'!Q4,0),IF(U9=4,'Gruppe A'!Q7,0),IF(U9=5,'Gruppe A'!Q10,0),IF(U9=8,'Gruppe A'!Q13,0),IF(U9=2,'Gruppe B'!Q4,0),IF(U9=3,'Gruppe B'!Q7,0),IF(U9=6,'Gruppe B'!Q10,0),IF(U9=7,'Gruppe B'!Q13,0),IF(U9=9,'Gruppe B'!Q16,0),IF(AND(Finalrunde!U4=U9,Finalrunde!D6=2,Finalrunde!E5&gt;0),Finalrunde!D5/Finalrunde!E5,0),IF(AND(Finalrunde!U5=U9,Finalrunde!B9=2,Finalrunde!C8&gt;0),Finalrunde!B8/Finalrunde!C8,0),IF(AND(Finalrunde!U6=U9,Finalrunde!H12=2,Finalrunde!I11&gt;0),Finalrunde!H11/Finalrunde!I11,0),IF(AND(Finalrunde!U7=U9,Finalrunde!F15=2,Finalrunde!G14&gt;0),Finalrunde!F14/Finalrunde!G14,0),IF(AND(Finalrunde!U20=U9,Finalrunde!D22=2,Finalrunde!E21&gt;0),Finalrunde!D21/Finalrunde!E21,0),IF(AND(Finalrunde!U21=U9,Finalrunde!B25=2,Finalrunde!C24&gt;0),Finalrunde!B24/Finalrunde!C24,0),IF(AND(Finalrunde!U22=U9,Finalrunde!H28=2,Finalrunde!I27&gt;0),Finalrunde!H27/Finalrunde!I27,0),IF(AND(Finalrunde!U23=U9,Finalrunde!F31=2,Finalrunde!G30&gt;0),Finalrunde!F30/Finalrunde!G30,0),IF(AND(Finalrunde!U36=U9,Finalrunde!D38=2,Finalrunde!E37&gt;0),Finalrunde!D37/Finalrunde!E37,0),IF(AND(Finalrunde!U37=U9,Finalrunde!B41=2,Finalrunde!C40&gt;0),Finalrunde!B40/Finalrunde!C40,0),IF(AND(Finalrunde!U38=U9,Finalrunde!H44=2,Finalrunde!I43&gt;0),Finalrunde!H43/Finalrunde!I43,0),IF(AND(Finalrunde!U39=U9,Finalrunde!F47=2,Finalrunde!G46&gt;0),Finalrunde!F46/Finalrunde!G46,0)))</x:f>
      </x:c>
      <x:c r="I9" s="73" t="str">
        <x:f>IF(G9&gt;0,TRUNC(F9/G9,3),"")</x:f>
      </x:c>
      <x:c r="J9" s="1" t="str">
        <x:f>IF(U9="","",MAX(INDEX(Teilnehmer!$M$2:$M$10,MATCH(U9,Teilnehmer!$A$2:$A$10,0)),IF(Finalrunde!U4=U9,IF(ISNUMBER(Finalrunde!E7),Finalrunde!E7,0),0),IF(Finalrunde!U5=U9,IF(ISNUMBER(Finalrunde!C10),Finalrunde!C10,0),0),IF(Finalrunde!U6=U9,IF(ISNUMBER(Finalrunde!I13),Finalrunde!I13,0),0),IF(Finalrunde!U7=U9,IF(ISNUMBER(Finalrunde!G16),Finalrunde!G16,0),0),IF(Finalrunde!U20=U9,IF(ISNUMBER(Finalrunde!E23),Finalrunde!E23,0),0),IF(Finalrunde!U21=U9,IF(ISNUMBER(Finalrunde!C26),Finalrunde!C26,0),0),IF(Finalrunde!U22=U9,IF(ISNUMBER(Finalrunde!I29),Finalrunde!I29,0),0),IF(Finalrunde!U23=U9,IF(ISNUMBER(Finalrunde!G32),Finalrunde!G32,0),0),IF(Finalrunde!U36=U9,IF(ISNUMBER(Finalrunde!E39),Finalrunde!E39,0),0),IF(Finalrunde!U37=U9,IF(ISNUMBER(Finalrunde!C42),Finalrunde!C42,0),0),IF(Finalrunde!U38=U9,IF(ISNUMBER(Finalrunde!I45),Finalrunde!I45,0),0),IF(Finalrunde!U39=U9,IF(ISNUMBER(Finalrunde!G48),Finalrunde!G48,0),0)))</x:f>
      </x:c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t="str">
        <x:f>IF(AND(ISNUMBER(Finalrunde!D38),ISNUMBER(Finalrunde!B41),Finalrunde!D38&lt;&gt;Finalrunde!B41),IF(Finalrunde!D38&gt;Finalrunde!B41,Finalrunde!U36,Finalrunde!U37),"")</x:f>
      </x:c>
    </x:row>
    <x:row r="10" ht="24" customHeight="1">
      <x:c r="A10" s="1" t="n">
        <x:v>6</x:v>
      </x:c>
      <x:c r="B10" s="1" t="str">
        <x:f>IF(U10="","",INDEX(Teilnehmer!$B$2:$B$10,MATCH(U10,Teilnehmer!$A$2:$A$10,0)))</x:f>
      </x:c>
      <x:c r="C10" s="1" t="str">
        <x:f>IF(U10="","",INDEX(Teilnehmer!$D$2:$D$10,MATCH(U10,Teilnehmer!$A$2:$A$10,0)))</x:f>
      </x:c>
      <x:c r="D10" s="1" t="str">
        <x:f>IF(U10="","",INDEX(Teilnehmer!$C$2:$C$10,MATCH(U10,Teilnehmer!$A$2:$A$10,0)))</x:f>
      </x:c>
      <x:c r="E10" s="1" t="str">
        <x:f>IF(U10="","",INDEX(Teilnehmer!$I$2:$I$10,MATCH(U10,Teilnehmer!$A$2:$A$10,0))+SUM(IF(Finalrunde!U4=U10,IF(ISNUMBER(Finalrunde!D6),Finalrunde!D6,0),0),IF(Finalrunde!U5=U10,IF(ISNUMBER(Finalrunde!B9),Finalrunde!B9,0),0),IF(Finalrunde!U6=U10,IF(ISNUMBER(Finalrunde!H12),Finalrunde!H12,0),0),IF(Finalrunde!U7=U10,IF(ISNUMBER(Finalrunde!F15),Finalrunde!F15,0),0),IF(Finalrunde!U20=U10,IF(ISNUMBER(Finalrunde!D22),Finalrunde!D22,0),0),IF(Finalrunde!U21=U10,IF(ISNUMBER(Finalrunde!B25),Finalrunde!B25,0),0),IF(Finalrunde!U22=U10,IF(ISNUMBER(Finalrunde!H28),Finalrunde!H28,0),0),IF(Finalrunde!U23=U10,IF(ISNUMBER(Finalrunde!F31),Finalrunde!F31,0),0),IF(Finalrunde!U36=U10,IF(ISNUMBER(Finalrunde!D38),Finalrunde!D38,0),0),IF(Finalrunde!U37=U10,IF(ISNUMBER(Finalrunde!B41),Finalrunde!B41,0),0),IF(Finalrunde!U38=U10,IF(ISNUMBER(Finalrunde!H44),Finalrunde!H44,0),0),IF(Finalrunde!U39=U10,IF(ISNUMBER(Finalrunde!F47),Finalrunde!F47,0),0)))</x:f>
      </x:c>
      <x:c r="F10" s="1" t="str">
        <x:f>IF(U10="","",INDEX(Teilnehmer!$J$2:$J$10,MATCH(U10,Teilnehmer!$A$2:$A$10,0))+SUM(IF(Finalrunde!U4=U10,IF(ISNUMBER(Finalrunde!D5),Finalrunde!D5,0),0),IF(Finalrunde!U5=U10,IF(ISNUMBER(Finalrunde!B8),Finalrunde!B8,0),0),IF(Finalrunde!U6=U10,IF(ISNUMBER(Finalrunde!H11),Finalrunde!H11,0),0),IF(Finalrunde!U7=U10,IF(ISNUMBER(Finalrunde!F14),Finalrunde!F14,0),0),IF(Finalrunde!U20=U10,IF(ISNUMBER(Finalrunde!D21),Finalrunde!D21,0),0),IF(Finalrunde!U21=U10,IF(ISNUMBER(Finalrunde!B24),Finalrunde!B24,0),0),IF(Finalrunde!U22=U10,IF(ISNUMBER(Finalrunde!H27),Finalrunde!H27,0),0),IF(Finalrunde!U23=U10,IF(ISNUMBER(Finalrunde!F30),Finalrunde!F30,0),0),IF(Finalrunde!U36=U10,IF(ISNUMBER(Finalrunde!D37),Finalrunde!D37,0),0),IF(Finalrunde!U37=U10,IF(ISNUMBER(Finalrunde!B40),Finalrunde!B40,0),0),IF(Finalrunde!U38=U10,IF(ISNUMBER(Finalrunde!H43),Finalrunde!H43,0),0),IF(Finalrunde!U39=U10,IF(ISNUMBER(Finalrunde!F46),Finalrunde!F46,0),0)))</x:f>
      </x:c>
      <x:c r="G10" s="1" t="str">
        <x:f>IF(U10="","",INDEX(Teilnehmer!$K$2:$K$10,MATCH(U10,Teilnehmer!$A$2:$A$10,0))+SUM(IF(Finalrunde!U4=U10,IF(ISNUMBER(Finalrunde!E5),Finalrunde!E5,0),0),IF(Finalrunde!U5=U10,IF(ISNUMBER(Finalrunde!C8),Finalrunde!C8,0),0),IF(Finalrunde!U6=U10,IF(ISNUMBER(Finalrunde!I11),Finalrunde!I11,0),0),IF(Finalrunde!U7=U10,IF(ISNUMBER(Finalrunde!G14),Finalrunde!G14,0),0),IF(Finalrunde!U20=U10,IF(ISNUMBER(Finalrunde!E21),Finalrunde!E21,0),0),IF(Finalrunde!U21=U10,IF(ISNUMBER(Finalrunde!C24),Finalrunde!C24,0),0),IF(Finalrunde!U22=U10,IF(ISNUMBER(Finalrunde!I27),Finalrunde!I27,0),0),IF(Finalrunde!U23=U10,IF(ISNUMBER(Finalrunde!G30),Finalrunde!G30,0),0),IF(Finalrunde!U36=U10,IF(ISNUMBER(Finalrunde!E37),Finalrunde!E37,0),0),IF(Finalrunde!U37=U10,IF(ISNUMBER(Finalrunde!C40),Finalrunde!C40,0),0),IF(Finalrunde!U38=U10,IF(ISNUMBER(Finalrunde!I43),Finalrunde!I43,0),0),IF(Finalrunde!U39=U10,IF(ISNUMBER(Finalrunde!G46),Finalrunde!G46,0),0)))</x:f>
      </x:c>
      <x:c r="H10" s="73" t="str">
        <x:f>IF(U10="","",MAX(IF(U10=1,'Gruppe A'!Q4,0),IF(U10=4,'Gruppe A'!Q7,0),IF(U10=5,'Gruppe A'!Q10,0),IF(U10=8,'Gruppe A'!Q13,0),IF(U10=2,'Gruppe B'!Q4,0),IF(U10=3,'Gruppe B'!Q7,0),IF(U10=6,'Gruppe B'!Q10,0),IF(U10=7,'Gruppe B'!Q13,0),IF(U10=9,'Gruppe B'!Q16,0),IF(AND(Finalrunde!U4=U10,Finalrunde!D6=2,Finalrunde!E5&gt;0),Finalrunde!D5/Finalrunde!E5,0),IF(AND(Finalrunde!U5=U10,Finalrunde!B9=2,Finalrunde!C8&gt;0),Finalrunde!B8/Finalrunde!C8,0),IF(AND(Finalrunde!U6=U10,Finalrunde!H12=2,Finalrunde!I11&gt;0),Finalrunde!H11/Finalrunde!I11,0),IF(AND(Finalrunde!U7=U10,Finalrunde!F15=2,Finalrunde!G14&gt;0),Finalrunde!F14/Finalrunde!G14,0),IF(AND(Finalrunde!U20=U10,Finalrunde!D22=2,Finalrunde!E21&gt;0),Finalrunde!D21/Finalrunde!E21,0),IF(AND(Finalrunde!U21=U10,Finalrunde!B25=2,Finalrunde!C24&gt;0),Finalrunde!B24/Finalrunde!C24,0),IF(AND(Finalrunde!U22=U10,Finalrunde!H28=2,Finalrunde!I27&gt;0),Finalrunde!H27/Finalrunde!I27,0),IF(AND(Finalrunde!U23=U10,Finalrunde!F31=2,Finalrunde!G30&gt;0),Finalrunde!F30/Finalrunde!G30,0),IF(AND(Finalrunde!U36=U10,Finalrunde!D38=2,Finalrunde!E37&gt;0),Finalrunde!D37/Finalrunde!E37,0),IF(AND(Finalrunde!U37=U10,Finalrunde!B41=2,Finalrunde!C40&gt;0),Finalrunde!B40/Finalrunde!C40,0),IF(AND(Finalrunde!U38=U10,Finalrunde!H44=2,Finalrunde!I43&gt;0),Finalrunde!H43/Finalrunde!I43,0),IF(AND(Finalrunde!U39=U10,Finalrunde!F47=2,Finalrunde!G46&gt;0),Finalrunde!F46/Finalrunde!G46,0)))</x:f>
      </x:c>
      <x:c r="I10" s="73" t="str">
        <x:f>IF(G10&gt;0,TRUNC(F10/G10,3),"")</x:f>
      </x:c>
      <x:c r="J10" s="1" t="str">
        <x:f>IF(U10="","",MAX(INDEX(Teilnehmer!$M$2:$M$10,MATCH(U10,Teilnehmer!$A$2:$A$10,0)),IF(Finalrunde!U4=U10,IF(ISNUMBER(Finalrunde!E7),Finalrunde!E7,0),0),IF(Finalrunde!U5=U10,IF(ISNUMBER(Finalrunde!C10),Finalrunde!C10,0),0),IF(Finalrunde!U6=U10,IF(ISNUMBER(Finalrunde!I13),Finalrunde!I13,0),0),IF(Finalrunde!U7=U10,IF(ISNUMBER(Finalrunde!G16),Finalrunde!G16,0),0),IF(Finalrunde!U20=U10,IF(ISNUMBER(Finalrunde!E23),Finalrunde!E23,0),0),IF(Finalrunde!U21=U10,IF(ISNUMBER(Finalrunde!C26),Finalrunde!C26,0),0),IF(Finalrunde!U22=U10,IF(ISNUMBER(Finalrunde!I29),Finalrunde!I29,0),0),IF(Finalrunde!U23=U10,IF(ISNUMBER(Finalrunde!G32),Finalrunde!G32,0),0),IF(Finalrunde!U36=U10,IF(ISNUMBER(Finalrunde!E39),Finalrunde!E39,0),0),IF(Finalrunde!U37=U10,IF(ISNUMBER(Finalrunde!C42),Finalrunde!C42,0),0),IF(Finalrunde!U38=U10,IF(ISNUMBER(Finalrunde!I45),Finalrunde!I45,0),0),IF(Finalrunde!U39=U10,IF(ISNUMBER(Finalrunde!G48),Finalrunde!G48,0),0)))</x:f>
      </x:c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t="str">
        <x:f>IF(AND(ISNUMBER(Finalrunde!D38),ISNUMBER(Finalrunde!B41),Finalrunde!D38&lt;&gt;Finalrunde!B41),IF(Finalrunde!D38&lt;Finalrunde!B41,Finalrunde!U36,Finalrunde!U37),"")</x:f>
      </x:c>
    </x:row>
    <x:row r="11" ht="24" customHeight="1">
      <x:c r="A11" s="1" t="n">
        <x:v>7</x:v>
      </x:c>
      <x:c r="B11" s="1" t="str">
        <x:f>IF(U11="","",INDEX(Teilnehmer!$B$2:$B$10,MATCH(U11,Teilnehmer!$A$2:$A$10,0)))</x:f>
      </x:c>
      <x:c r="C11" s="1" t="str">
        <x:f>IF(U11="","",INDEX(Teilnehmer!$D$2:$D$10,MATCH(U11,Teilnehmer!$A$2:$A$10,0)))</x:f>
      </x:c>
      <x:c r="D11" s="1" t="str">
        <x:f>IF(U11="","",INDEX(Teilnehmer!$C$2:$C$10,MATCH(U11,Teilnehmer!$A$2:$A$10,0)))</x:f>
      </x:c>
      <x:c r="E11" s="1" t="str">
        <x:f>IF(U11="","",INDEX(Teilnehmer!$I$2:$I$10,MATCH(U11,Teilnehmer!$A$2:$A$10,0))+SUM(IF(Finalrunde!U4=U11,IF(ISNUMBER(Finalrunde!D6),Finalrunde!D6,0),0),IF(Finalrunde!U5=U11,IF(ISNUMBER(Finalrunde!B9),Finalrunde!B9,0),0),IF(Finalrunde!U6=U11,IF(ISNUMBER(Finalrunde!H12),Finalrunde!H12,0),0),IF(Finalrunde!U7=U11,IF(ISNUMBER(Finalrunde!F15),Finalrunde!F15,0),0),IF(Finalrunde!U20=U11,IF(ISNUMBER(Finalrunde!D22),Finalrunde!D22,0),0),IF(Finalrunde!U21=U11,IF(ISNUMBER(Finalrunde!B25),Finalrunde!B25,0),0),IF(Finalrunde!U22=U11,IF(ISNUMBER(Finalrunde!H28),Finalrunde!H28,0),0),IF(Finalrunde!U23=U11,IF(ISNUMBER(Finalrunde!F31),Finalrunde!F31,0),0),IF(Finalrunde!U36=U11,IF(ISNUMBER(Finalrunde!D38),Finalrunde!D38,0),0),IF(Finalrunde!U37=U11,IF(ISNUMBER(Finalrunde!B41),Finalrunde!B41,0),0),IF(Finalrunde!U38=U11,IF(ISNUMBER(Finalrunde!H44),Finalrunde!H44,0),0),IF(Finalrunde!U39=U11,IF(ISNUMBER(Finalrunde!F47),Finalrunde!F47,0),0)))</x:f>
      </x:c>
      <x:c r="F11" s="1" t="str">
        <x:f>IF(U11="","",INDEX(Teilnehmer!$J$2:$J$10,MATCH(U11,Teilnehmer!$A$2:$A$10,0))+SUM(IF(Finalrunde!U4=U11,IF(ISNUMBER(Finalrunde!D5),Finalrunde!D5,0),0),IF(Finalrunde!U5=U11,IF(ISNUMBER(Finalrunde!B8),Finalrunde!B8,0),0),IF(Finalrunde!U6=U11,IF(ISNUMBER(Finalrunde!H11),Finalrunde!H11,0),0),IF(Finalrunde!U7=U11,IF(ISNUMBER(Finalrunde!F14),Finalrunde!F14,0),0),IF(Finalrunde!U20=U11,IF(ISNUMBER(Finalrunde!D21),Finalrunde!D21,0),0),IF(Finalrunde!U21=U11,IF(ISNUMBER(Finalrunde!B24),Finalrunde!B24,0),0),IF(Finalrunde!U22=U11,IF(ISNUMBER(Finalrunde!H27),Finalrunde!H27,0),0),IF(Finalrunde!U23=U11,IF(ISNUMBER(Finalrunde!F30),Finalrunde!F30,0),0),IF(Finalrunde!U36=U11,IF(ISNUMBER(Finalrunde!D37),Finalrunde!D37,0),0),IF(Finalrunde!U37=U11,IF(ISNUMBER(Finalrunde!B40),Finalrunde!B40,0),0),IF(Finalrunde!U38=U11,IF(ISNUMBER(Finalrunde!H43),Finalrunde!H43,0),0),IF(Finalrunde!U39=U11,IF(ISNUMBER(Finalrunde!F46),Finalrunde!F46,0),0)))</x:f>
      </x:c>
      <x:c r="G11" s="1" t="str">
        <x:f>IF(U11="","",INDEX(Teilnehmer!$K$2:$K$10,MATCH(U11,Teilnehmer!$A$2:$A$10,0))+SUM(IF(Finalrunde!U4=U11,IF(ISNUMBER(Finalrunde!E5),Finalrunde!E5,0),0),IF(Finalrunde!U5=U11,IF(ISNUMBER(Finalrunde!C8),Finalrunde!C8,0),0),IF(Finalrunde!U6=U11,IF(ISNUMBER(Finalrunde!I11),Finalrunde!I11,0),0),IF(Finalrunde!U7=U11,IF(ISNUMBER(Finalrunde!G14),Finalrunde!G14,0),0),IF(Finalrunde!U20=U11,IF(ISNUMBER(Finalrunde!E21),Finalrunde!E21,0),0),IF(Finalrunde!U21=U11,IF(ISNUMBER(Finalrunde!C24),Finalrunde!C24,0),0),IF(Finalrunde!U22=U11,IF(ISNUMBER(Finalrunde!I27),Finalrunde!I27,0),0),IF(Finalrunde!U23=U11,IF(ISNUMBER(Finalrunde!G30),Finalrunde!G30,0),0),IF(Finalrunde!U36=U11,IF(ISNUMBER(Finalrunde!E37),Finalrunde!E37,0),0),IF(Finalrunde!U37=U11,IF(ISNUMBER(Finalrunde!C40),Finalrunde!C40,0),0),IF(Finalrunde!U38=U11,IF(ISNUMBER(Finalrunde!I43),Finalrunde!I43,0),0),IF(Finalrunde!U39=U11,IF(ISNUMBER(Finalrunde!G46),Finalrunde!G46,0),0)))</x:f>
      </x:c>
      <x:c r="H11" s="73" t="str">
        <x:f>IF(U11="","",MAX(IF(U11=1,'Gruppe A'!Q4,0),IF(U11=4,'Gruppe A'!Q7,0),IF(U11=5,'Gruppe A'!Q10,0),IF(U11=8,'Gruppe A'!Q13,0),IF(U11=2,'Gruppe B'!Q4,0),IF(U11=3,'Gruppe B'!Q7,0),IF(U11=6,'Gruppe B'!Q10,0),IF(U11=7,'Gruppe B'!Q13,0),IF(U11=9,'Gruppe B'!Q16,0),IF(AND(Finalrunde!U4=U11,Finalrunde!D6=2,Finalrunde!E5&gt;0),Finalrunde!D5/Finalrunde!E5,0),IF(AND(Finalrunde!U5=U11,Finalrunde!B9=2,Finalrunde!C8&gt;0),Finalrunde!B8/Finalrunde!C8,0),IF(AND(Finalrunde!U6=U11,Finalrunde!H12=2,Finalrunde!I11&gt;0),Finalrunde!H11/Finalrunde!I11,0),IF(AND(Finalrunde!U7=U11,Finalrunde!F15=2,Finalrunde!G14&gt;0),Finalrunde!F14/Finalrunde!G14,0),IF(AND(Finalrunde!U20=U11,Finalrunde!D22=2,Finalrunde!E21&gt;0),Finalrunde!D21/Finalrunde!E21,0),IF(AND(Finalrunde!U21=U11,Finalrunde!B25=2,Finalrunde!C24&gt;0),Finalrunde!B24/Finalrunde!C24,0),IF(AND(Finalrunde!U22=U11,Finalrunde!H28=2,Finalrunde!I27&gt;0),Finalrunde!H27/Finalrunde!I27,0),IF(AND(Finalrunde!U23=U11,Finalrunde!F31=2,Finalrunde!G30&gt;0),Finalrunde!F30/Finalrunde!G30,0),IF(AND(Finalrunde!U36=U11,Finalrunde!D38=2,Finalrunde!E37&gt;0),Finalrunde!D37/Finalrunde!E37,0),IF(AND(Finalrunde!U37=U11,Finalrunde!B41=2,Finalrunde!C40&gt;0),Finalrunde!B40/Finalrunde!C40,0),IF(AND(Finalrunde!U38=U11,Finalrunde!H44=2,Finalrunde!I43&gt;0),Finalrunde!H43/Finalrunde!I43,0),IF(AND(Finalrunde!U39=U11,Finalrunde!F47=2,Finalrunde!G46&gt;0),Finalrunde!F46/Finalrunde!G46,0)))</x:f>
      </x:c>
      <x:c r="I11" s="73" t="str">
        <x:f>IF(G11&gt;0,TRUNC(F11/G11,3),"")</x:f>
      </x:c>
      <x:c r="J11" s="1" t="str">
        <x:f>IF(U11="","",MAX(INDEX(Teilnehmer!$M$2:$M$10,MATCH(U11,Teilnehmer!$A$2:$A$10,0)),IF(Finalrunde!U4=U11,IF(ISNUMBER(Finalrunde!E7),Finalrunde!E7,0),0),IF(Finalrunde!U5=U11,IF(ISNUMBER(Finalrunde!C10),Finalrunde!C10,0),0),IF(Finalrunde!U6=U11,IF(ISNUMBER(Finalrunde!I13),Finalrunde!I13,0),0),IF(Finalrunde!U7=U11,IF(ISNUMBER(Finalrunde!G16),Finalrunde!G16,0),0),IF(Finalrunde!U20=U11,IF(ISNUMBER(Finalrunde!E23),Finalrunde!E23,0),0),IF(Finalrunde!U21=U11,IF(ISNUMBER(Finalrunde!C26),Finalrunde!C26,0),0),IF(Finalrunde!U22=U11,IF(ISNUMBER(Finalrunde!I29),Finalrunde!I29,0),0),IF(Finalrunde!U23=U11,IF(ISNUMBER(Finalrunde!G32),Finalrunde!G32,0),0),IF(Finalrunde!U36=U11,IF(ISNUMBER(Finalrunde!E39),Finalrunde!E39,0),0),IF(Finalrunde!U37=U11,IF(ISNUMBER(Finalrunde!C42),Finalrunde!C42,0),0),IF(Finalrunde!U38=U11,IF(ISNUMBER(Finalrunde!I45),Finalrunde!I45,0),0),IF(Finalrunde!U39=U11,IF(ISNUMBER(Finalrunde!G48),Finalrunde!G48,0),0)))</x:f>
      </x:c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t="str">
        <x:f>IF(AND(ISNUMBER(Finalrunde!H44),ISNUMBER(Finalrunde!F47),Finalrunde!H44&lt;&gt;Finalrunde!F47),IF(Finalrunde!H44&gt;Finalrunde!F47,Finalrunde!U38,Finalrunde!U39),"")</x:f>
      </x:c>
    </x:row>
    <x:row r="12" ht="24" customHeight="1">
      <x:c r="A12" s="1" t="n">
        <x:v>8</x:v>
      </x:c>
      <x:c r="B12" s="1" t="str">
        <x:f>IF(U12="","",INDEX(Teilnehmer!$B$2:$B$10,MATCH(U12,Teilnehmer!$A$2:$A$10,0)))</x:f>
      </x:c>
      <x:c r="C12" s="1" t="str">
        <x:f>IF(U12="","",INDEX(Teilnehmer!$D$2:$D$10,MATCH(U12,Teilnehmer!$A$2:$A$10,0)))</x:f>
      </x:c>
      <x:c r="D12" s="1" t="str">
        <x:f>IF(U12="","",INDEX(Teilnehmer!$C$2:$C$10,MATCH(U12,Teilnehmer!$A$2:$A$10,0)))</x:f>
      </x:c>
      <x:c r="E12" s="1" t="str">
        <x:f>IF(U12="","",INDEX(Teilnehmer!$I$2:$I$10,MATCH(U12,Teilnehmer!$A$2:$A$10,0))+SUM(IF(Finalrunde!U4=U12,IF(ISNUMBER(Finalrunde!D6),Finalrunde!D6,0),0),IF(Finalrunde!U5=U12,IF(ISNUMBER(Finalrunde!B9),Finalrunde!B9,0),0),IF(Finalrunde!U6=U12,IF(ISNUMBER(Finalrunde!H12),Finalrunde!H12,0),0),IF(Finalrunde!U7=U12,IF(ISNUMBER(Finalrunde!F15),Finalrunde!F15,0),0),IF(Finalrunde!U20=U12,IF(ISNUMBER(Finalrunde!D22),Finalrunde!D22,0),0),IF(Finalrunde!U21=U12,IF(ISNUMBER(Finalrunde!B25),Finalrunde!B25,0),0),IF(Finalrunde!U22=U12,IF(ISNUMBER(Finalrunde!H28),Finalrunde!H28,0),0),IF(Finalrunde!U23=U12,IF(ISNUMBER(Finalrunde!F31),Finalrunde!F31,0),0),IF(Finalrunde!U36=U12,IF(ISNUMBER(Finalrunde!D38),Finalrunde!D38,0),0),IF(Finalrunde!U37=U12,IF(ISNUMBER(Finalrunde!B41),Finalrunde!B41,0),0),IF(Finalrunde!U38=U12,IF(ISNUMBER(Finalrunde!H44),Finalrunde!H44,0),0),IF(Finalrunde!U39=U12,IF(ISNUMBER(Finalrunde!F47),Finalrunde!F47,0),0)))</x:f>
      </x:c>
      <x:c r="F12" s="1" t="str">
        <x:f>IF(U12="","",INDEX(Teilnehmer!$J$2:$J$10,MATCH(U12,Teilnehmer!$A$2:$A$10,0))+SUM(IF(Finalrunde!U4=U12,IF(ISNUMBER(Finalrunde!D5),Finalrunde!D5,0),0),IF(Finalrunde!U5=U12,IF(ISNUMBER(Finalrunde!B8),Finalrunde!B8,0),0),IF(Finalrunde!U6=U12,IF(ISNUMBER(Finalrunde!H11),Finalrunde!H11,0),0),IF(Finalrunde!U7=U12,IF(ISNUMBER(Finalrunde!F14),Finalrunde!F14,0),0),IF(Finalrunde!U20=U12,IF(ISNUMBER(Finalrunde!D21),Finalrunde!D21,0),0),IF(Finalrunde!U21=U12,IF(ISNUMBER(Finalrunde!B24),Finalrunde!B24,0),0),IF(Finalrunde!U22=U12,IF(ISNUMBER(Finalrunde!H27),Finalrunde!H27,0),0),IF(Finalrunde!U23=U12,IF(ISNUMBER(Finalrunde!F30),Finalrunde!F30,0),0),IF(Finalrunde!U36=U12,IF(ISNUMBER(Finalrunde!D37),Finalrunde!D37,0),0),IF(Finalrunde!U37=U12,IF(ISNUMBER(Finalrunde!B40),Finalrunde!B40,0),0),IF(Finalrunde!U38=U12,IF(ISNUMBER(Finalrunde!H43),Finalrunde!H43,0),0),IF(Finalrunde!U39=U12,IF(ISNUMBER(Finalrunde!F46),Finalrunde!F46,0),0)))</x:f>
      </x:c>
      <x:c r="G12" s="1" t="str">
        <x:f>IF(U12="","",INDEX(Teilnehmer!$K$2:$K$10,MATCH(U12,Teilnehmer!$A$2:$A$10,0))+SUM(IF(Finalrunde!U4=U12,IF(ISNUMBER(Finalrunde!E5),Finalrunde!E5,0),0),IF(Finalrunde!U5=U12,IF(ISNUMBER(Finalrunde!C8),Finalrunde!C8,0),0),IF(Finalrunde!U6=U12,IF(ISNUMBER(Finalrunde!I11),Finalrunde!I11,0),0),IF(Finalrunde!U7=U12,IF(ISNUMBER(Finalrunde!G14),Finalrunde!G14,0),0),IF(Finalrunde!U20=U12,IF(ISNUMBER(Finalrunde!E21),Finalrunde!E21,0),0),IF(Finalrunde!U21=U12,IF(ISNUMBER(Finalrunde!C24),Finalrunde!C24,0),0),IF(Finalrunde!U22=U12,IF(ISNUMBER(Finalrunde!I27),Finalrunde!I27,0),0),IF(Finalrunde!U23=U12,IF(ISNUMBER(Finalrunde!G30),Finalrunde!G30,0),0),IF(Finalrunde!U36=U12,IF(ISNUMBER(Finalrunde!E37),Finalrunde!E37,0),0),IF(Finalrunde!U37=U12,IF(ISNUMBER(Finalrunde!C40),Finalrunde!C40,0),0),IF(Finalrunde!U38=U12,IF(ISNUMBER(Finalrunde!I43),Finalrunde!I43,0),0),IF(Finalrunde!U39=U12,IF(ISNUMBER(Finalrunde!G46),Finalrunde!G46,0),0)))</x:f>
      </x:c>
      <x:c r="H12" s="73" t="str">
        <x:f>IF(U12="","",MAX(IF(U12=1,'Gruppe A'!Q4,0),IF(U12=4,'Gruppe A'!Q7,0),IF(U12=5,'Gruppe A'!Q10,0),IF(U12=8,'Gruppe A'!Q13,0),IF(U12=2,'Gruppe B'!Q4,0),IF(U12=3,'Gruppe B'!Q7,0),IF(U12=6,'Gruppe B'!Q10,0),IF(U12=7,'Gruppe B'!Q13,0),IF(U12=9,'Gruppe B'!Q16,0),IF(AND(Finalrunde!U4=U12,Finalrunde!D6=2,Finalrunde!E5&gt;0),Finalrunde!D5/Finalrunde!E5,0),IF(AND(Finalrunde!U5=U12,Finalrunde!B9=2,Finalrunde!C8&gt;0),Finalrunde!B8/Finalrunde!C8,0),IF(AND(Finalrunde!U6=U12,Finalrunde!H12=2,Finalrunde!I11&gt;0),Finalrunde!H11/Finalrunde!I11,0),IF(AND(Finalrunde!U7=U12,Finalrunde!F15=2,Finalrunde!G14&gt;0),Finalrunde!F14/Finalrunde!G14,0),IF(AND(Finalrunde!U20=U12,Finalrunde!D22=2,Finalrunde!E21&gt;0),Finalrunde!D21/Finalrunde!E21,0),IF(AND(Finalrunde!U21=U12,Finalrunde!B25=2,Finalrunde!C24&gt;0),Finalrunde!B24/Finalrunde!C24,0),IF(AND(Finalrunde!U22=U12,Finalrunde!H28=2,Finalrunde!I27&gt;0),Finalrunde!H27/Finalrunde!I27,0),IF(AND(Finalrunde!U23=U12,Finalrunde!F31=2,Finalrunde!G30&gt;0),Finalrunde!F30/Finalrunde!G30,0),IF(AND(Finalrunde!U36=U12,Finalrunde!D38=2,Finalrunde!E37&gt;0),Finalrunde!D37/Finalrunde!E37,0),IF(AND(Finalrunde!U37=U12,Finalrunde!B41=2,Finalrunde!C40&gt;0),Finalrunde!B40/Finalrunde!C40,0),IF(AND(Finalrunde!U38=U12,Finalrunde!H44=2,Finalrunde!I43&gt;0),Finalrunde!H43/Finalrunde!I43,0),IF(AND(Finalrunde!U39=U12,Finalrunde!F47=2,Finalrunde!G46&gt;0),Finalrunde!F46/Finalrunde!G46,0)))</x:f>
      </x:c>
      <x:c r="I12" s="73" t="str">
        <x:f>IF(G12&gt;0,TRUNC(F12/G12,3),"")</x:f>
      </x:c>
      <x:c r="J12" s="1" t="str">
        <x:f>IF(U12="","",MAX(INDEX(Teilnehmer!$M$2:$M$10,MATCH(U12,Teilnehmer!$A$2:$A$10,0)),IF(Finalrunde!U4=U12,IF(ISNUMBER(Finalrunde!E7),Finalrunde!E7,0),0),IF(Finalrunde!U5=U12,IF(ISNUMBER(Finalrunde!C10),Finalrunde!C10,0),0),IF(Finalrunde!U6=U12,IF(ISNUMBER(Finalrunde!I13),Finalrunde!I13,0),0),IF(Finalrunde!U7=U12,IF(ISNUMBER(Finalrunde!G16),Finalrunde!G16,0),0),IF(Finalrunde!U20=U12,IF(ISNUMBER(Finalrunde!E23),Finalrunde!E23,0),0),IF(Finalrunde!U21=U12,IF(ISNUMBER(Finalrunde!C26),Finalrunde!C26,0),0),IF(Finalrunde!U22=U12,IF(ISNUMBER(Finalrunde!I29),Finalrunde!I29,0),0),IF(Finalrunde!U23=U12,IF(ISNUMBER(Finalrunde!G32),Finalrunde!G32,0),0),IF(Finalrunde!U36=U12,IF(ISNUMBER(Finalrunde!E39),Finalrunde!E39,0),0),IF(Finalrunde!U37=U12,IF(ISNUMBER(Finalrunde!C42),Finalrunde!C42,0),0),IF(Finalrunde!U38=U12,IF(ISNUMBER(Finalrunde!I45),Finalrunde!I45,0),0),IF(Finalrunde!U39=U12,IF(ISNUMBER(Finalrunde!G48),Finalrunde!G48,0),0)))</x:f>
      </x:c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t="str">
        <x:f>IF(AND(ISNUMBER(Finalrunde!H44),ISNUMBER(Finalrunde!F47),Finalrunde!H44&lt;&gt;Finalrunde!F47),IF(Finalrunde!H44&lt;Finalrunde!F47,Finalrunde!U38,Finalrunde!U39),"")</x:f>
      </x:c>
    </x:row>
    <x:row r="13" ht="24" customHeight="1">
      <x:c r="A13" s="1" t="n">
        <x:v>9</x:v>
      </x:c>
      <x:c r="B13" s="1" t="str">
        <x:f>IF(U13="","",INDEX(Teilnehmer!$B$2:$B$10,MATCH(U13,Teilnehmer!$A$2:$A$10,0)))</x:f>
      </x:c>
      <x:c r="C13" s="1" t="str">
        <x:f>IF(U13="","",INDEX(Teilnehmer!$D$2:$D$10,MATCH(U13,Teilnehmer!$A$2:$A$10,0)))</x:f>
      </x:c>
      <x:c r="D13" s="1" t="str">
        <x:f>IF(U13="","",INDEX(Teilnehmer!$C$2:$C$10,MATCH(U13,Teilnehmer!$A$2:$A$10,0)))</x:f>
      </x:c>
      <x:c r="E13" s="1" t="str">
        <x:f>IF(U13="","",INDEX(Teilnehmer!$I$2:$I$10,MATCH(U13,Teilnehmer!$A$2:$A$10,0))+SUM(IF(Finalrunde!U4=U13,IF(ISNUMBER(Finalrunde!D6),Finalrunde!D6,0),0),IF(Finalrunde!U5=U13,IF(ISNUMBER(Finalrunde!B9),Finalrunde!B9,0),0),IF(Finalrunde!U6=U13,IF(ISNUMBER(Finalrunde!H12),Finalrunde!H12,0),0),IF(Finalrunde!U7=U13,IF(ISNUMBER(Finalrunde!F15),Finalrunde!F15,0),0),IF(Finalrunde!U20=U13,IF(ISNUMBER(Finalrunde!D22),Finalrunde!D22,0),0),IF(Finalrunde!U21=U13,IF(ISNUMBER(Finalrunde!B25),Finalrunde!B25,0),0),IF(Finalrunde!U22=U13,IF(ISNUMBER(Finalrunde!H28),Finalrunde!H28,0),0),IF(Finalrunde!U23=U13,IF(ISNUMBER(Finalrunde!F31),Finalrunde!F31,0),0),IF(Finalrunde!U36=U13,IF(ISNUMBER(Finalrunde!D38),Finalrunde!D38,0),0),IF(Finalrunde!U37=U13,IF(ISNUMBER(Finalrunde!B41),Finalrunde!B41,0),0),IF(Finalrunde!U38=U13,IF(ISNUMBER(Finalrunde!H44),Finalrunde!H44,0),0),IF(Finalrunde!U39=U13,IF(ISNUMBER(Finalrunde!F47),Finalrunde!F47,0),0)))</x:f>
      </x:c>
      <x:c r="F13" s="1" t="str">
        <x:f>IF(U13="","",INDEX(Teilnehmer!$J$2:$J$10,MATCH(U13,Teilnehmer!$A$2:$A$10,0))+SUM(IF(Finalrunde!U4=U13,IF(ISNUMBER(Finalrunde!D5),Finalrunde!D5,0),0),IF(Finalrunde!U5=U13,IF(ISNUMBER(Finalrunde!B8),Finalrunde!B8,0),0),IF(Finalrunde!U6=U13,IF(ISNUMBER(Finalrunde!H11),Finalrunde!H11,0),0),IF(Finalrunde!U7=U13,IF(ISNUMBER(Finalrunde!F14),Finalrunde!F14,0),0),IF(Finalrunde!U20=U13,IF(ISNUMBER(Finalrunde!D21),Finalrunde!D21,0),0),IF(Finalrunde!U21=U13,IF(ISNUMBER(Finalrunde!B24),Finalrunde!B24,0),0),IF(Finalrunde!U22=U13,IF(ISNUMBER(Finalrunde!H27),Finalrunde!H27,0),0),IF(Finalrunde!U23=U13,IF(ISNUMBER(Finalrunde!F30),Finalrunde!F30,0),0),IF(Finalrunde!U36=U13,IF(ISNUMBER(Finalrunde!D37),Finalrunde!D37,0),0),IF(Finalrunde!U37=U13,IF(ISNUMBER(Finalrunde!B40),Finalrunde!B40,0),0),IF(Finalrunde!U38=U13,IF(ISNUMBER(Finalrunde!H43),Finalrunde!H43,0),0),IF(Finalrunde!U39=U13,IF(ISNUMBER(Finalrunde!F46),Finalrunde!F46,0),0)))</x:f>
      </x:c>
      <x:c r="G13" s="1" t="str">
        <x:f>IF(U13="","",INDEX(Teilnehmer!$K$2:$K$10,MATCH(U13,Teilnehmer!$A$2:$A$10,0))+SUM(IF(Finalrunde!U4=U13,IF(ISNUMBER(Finalrunde!E5),Finalrunde!E5,0),0),IF(Finalrunde!U5=U13,IF(ISNUMBER(Finalrunde!C8),Finalrunde!C8,0),0),IF(Finalrunde!U6=U13,IF(ISNUMBER(Finalrunde!I11),Finalrunde!I11,0),0),IF(Finalrunde!U7=U13,IF(ISNUMBER(Finalrunde!G14),Finalrunde!G14,0),0),IF(Finalrunde!U20=U13,IF(ISNUMBER(Finalrunde!E21),Finalrunde!E21,0),0),IF(Finalrunde!U21=U13,IF(ISNUMBER(Finalrunde!C24),Finalrunde!C24,0),0),IF(Finalrunde!U22=U13,IF(ISNUMBER(Finalrunde!I27),Finalrunde!I27,0),0),IF(Finalrunde!U23=U13,IF(ISNUMBER(Finalrunde!G30),Finalrunde!G30,0),0),IF(Finalrunde!U36=U13,IF(ISNUMBER(Finalrunde!E37),Finalrunde!E37,0),0),IF(Finalrunde!U37=U13,IF(ISNUMBER(Finalrunde!C40),Finalrunde!C40,0),0),IF(Finalrunde!U38=U13,IF(ISNUMBER(Finalrunde!I43),Finalrunde!I43,0),0),IF(Finalrunde!U39=U13,IF(ISNUMBER(Finalrunde!G46),Finalrunde!G46,0),0)))</x:f>
      </x:c>
      <x:c r="H13" s="73" t="str">
        <x:f>IF(U13="","",MAX(IF(U13=1,'Gruppe A'!Q4,0),IF(U13=4,'Gruppe A'!Q7,0),IF(U13=5,'Gruppe A'!Q10,0),IF(U13=8,'Gruppe A'!Q13,0),IF(U13=2,'Gruppe B'!Q4,0),IF(U13=3,'Gruppe B'!Q7,0),IF(U13=6,'Gruppe B'!Q10,0),IF(U13=7,'Gruppe B'!Q13,0),IF(U13=9,'Gruppe B'!Q16,0),IF(AND(Finalrunde!U4=U13,Finalrunde!D6=2,Finalrunde!E5&gt;0),Finalrunde!D5/Finalrunde!E5,0),IF(AND(Finalrunde!U5=U13,Finalrunde!B9=2,Finalrunde!C8&gt;0),Finalrunde!B8/Finalrunde!C8,0),IF(AND(Finalrunde!U6=U13,Finalrunde!H12=2,Finalrunde!I11&gt;0),Finalrunde!H11/Finalrunde!I11,0),IF(AND(Finalrunde!U7=U13,Finalrunde!F15=2,Finalrunde!G14&gt;0),Finalrunde!F14/Finalrunde!G14,0),IF(AND(Finalrunde!U20=U13,Finalrunde!D22=2,Finalrunde!E21&gt;0),Finalrunde!D21/Finalrunde!E21,0),IF(AND(Finalrunde!U21=U13,Finalrunde!B25=2,Finalrunde!C24&gt;0),Finalrunde!B24/Finalrunde!C24,0),IF(AND(Finalrunde!U22=U13,Finalrunde!H28=2,Finalrunde!I27&gt;0),Finalrunde!H27/Finalrunde!I27,0),IF(AND(Finalrunde!U23=U13,Finalrunde!F31=2,Finalrunde!G30&gt;0),Finalrunde!F30/Finalrunde!G30,0),IF(AND(Finalrunde!U36=U13,Finalrunde!D38=2,Finalrunde!E37&gt;0),Finalrunde!D37/Finalrunde!E37,0),IF(AND(Finalrunde!U37=U13,Finalrunde!B41=2,Finalrunde!C40&gt;0),Finalrunde!B40/Finalrunde!C40,0),IF(AND(Finalrunde!U38=U13,Finalrunde!H44=2,Finalrunde!I43&gt;0),Finalrunde!H43/Finalrunde!I43,0),IF(AND(Finalrunde!U39=U13,Finalrunde!F47=2,Finalrunde!G46&gt;0),Finalrunde!F46/Finalrunde!G46,0)))</x:f>
      </x:c>
      <x:c r="I13" s="73" t="str">
        <x:f>IF(G13&gt;0,TRUNC(F13/G13,3),"")</x:f>
      </x:c>
      <x:c r="J13" s="1" t="str">
        <x:f>IF(U13="","",MAX(INDEX(Teilnehmer!$M$2:$M$10,MATCH(U13,Teilnehmer!$A$2:$A$10,0)),IF(Finalrunde!U4=U13,IF(ISNUMBER(Finalrunde!E7),Finalrunde!E7,0),0),IF(Finalrunde!U5=U13,IF(ISNUMBER(Finalrunde!C10),Finalrunde!C10,0),0),IF(Finalrunde!U6=U13,IF(ISNUMBER(Finalrunde!I13),Finalrunde!I13,0),0),IF(Finalrunde!U7=U13,IF(ISNUMBER(Finalrunde!G16),Finalrunde!G16,0),0),IF(Finalrunde!U20=U13,IF(ISNUMBER(Finalrunde!E23),Finalrunde!E23,0),0),IF(Finalrunde!U21=U13,IF(ISNUMBER(Finalrunde!C26),Finalrunde!C26,0),0),IF(Finalrunde!U22=U13,IF(ISNUMBER(Finalrunde!I29),Finalrunde!I29,0),0),IF(Finalrunde!U23=U13,IF(ISNUMBER(Finalrunde!G32),Finalrunde!G32,0),0),IF(Finalrunde!U36=U13,IF(ISNUMBER(Finalrunde!E39),Finalrunde!E39,0),0),IF(Finalrunde!U37=U13,IF(ISNUMBER(Finalrunde!C42),Finalrunde!C42,0),0),IF(Finalrunde!U38=U13,IF(ISNUMBER(Finalrunde!I45),Finalrunde!I45,0),0),IF(Finalrunde!U39=U13,IF(ISNUMBER(Finalrunde!G48),Finalrunde!G48,0),0)))</x:f>
      </x:c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t="str">
        <x:f>IF(COUNTIF(Teilnehmer!$P$2:$P$10,"B5")=1,INDEX(Teilnehmer!$A$2:$A$10,MATCH("B5",Teilnehmer!$P$2:$P$10,0)),"")</x:f>
      </x:c>
    </x:row>
    <x:row r="14" ht="24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</x:row>
    <x:row r="15" ht="24" customHeight="1">
      <x:c r="A15" s="1" t="str">
        <x:v>Rangliste aus Finalspielen. Gesamtstatistik umfasst Gruppen- und Finalrunde. Gruppenplatz 5 aus B = Gesamtplatz 9.</x:v>
      </x:c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</x:row>
    <x:row r="16" ht="24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</x:row>
    <x:row r="17" ht="24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</x:row>
    <x:row r="18" ht="24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</x:row>
    <x:row r="19" ht="24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</x:row>
    <x:row r="20" ht="24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</x:row>
    <x:row r="21" ht="24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</x:row>
    <x:row r="22" ht="24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</x:row>
    <x:row r="23" ht="24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</x:row>
    <x:row r="24" ht="24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</x:row>
    <x:row r="25" ht="24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</x:row>
    <x:row r="26" ht="24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</x:row>
    <x:row r="27" ht="24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</x:row>
    <x:row r="28" ht="24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</x:row>
    <x:row r="29" ht="24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</x:row>
    <x:row r="30" ht="24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</x:row>
    <x:row r="31" ht="24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</x:row>
    <x:row r="32" ht="24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</x:row>
    <x:row r="33" ht="24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</x:row>
    <x:row r="34" ht="24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</x:row>
    <x:row r="35" ht="24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</x:row>
    <x:row r="36" ht="24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</x:row>
    <x:row r="37" ht="24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</x:row>
    <x:row r="38" ht="24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</x:row>
    <x:row r="39" ht="24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</x:row>
    <x:row r="40" ht="24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</x:row>
    <x:row r="41" ht="24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</x:row>
    <x:row r="42" ht="24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</x:row>
    <x:row r="43" ht="24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</x:row>
    <x:row r="44" ht="24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</x:row>
    <x:row r="45" ht="24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</x:row>
    <x:row r="46" ht="24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</x:row>
    <x:row r="47" ht="24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</x:row>
    <x:row r="48" ht="24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</x:row>
    <x:row r="49" ht="24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</x:row>
    <x:row r="50" ht="24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</x:row>
    <x:row r="51" ht="24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</x:row>
    <x:row r="52" ht="24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</x:row>
    <x:row r="53" ht="24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</x:row>
    <x:row r="54" ht="24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</x:row>
    <x:row r="55" ht="24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</x:row>
    <x:row r="56" ht="24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</x:row>
    <x:row r="57" ht="24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</x:row>
    <x:row r="58" ht="24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</x:row>
    <x:row r="59" ht="24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</x:row>
    <x:row r="60" ht="24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</x:row>
    <x:row r="61" ht="24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</x:row>
    <x:row r="62" ht="24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</x:row>
    <x:row r="63" ht="24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</x:row>
    <x:row r="64" ht="24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</x:row>
    <x:row r="65" ht="24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</x:row>
  </x:sheetData>
  <x:mergeCells>
    <x:mergeCell ref="D1:P1"/>
    <x:mergeCell ref="S2:T2"/>
    <x:mergeCell ref="A15:T15"/>
  </x:mergeCells>
  <x:pageMargins left="0.2" right="0.2" top="0.3" bottom="0.3" header="0.1" footer="0.1"/>
  <x:pageSetup paperSize="9" orientation="landscape" fitToWidth="1" fitToHeight="1"/>
</x:worksheet>
</file>