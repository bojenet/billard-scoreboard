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68" firstSheet="0" activeTab="0" autoFilterDateGrouping="1"/>
  </bookViews>
  <sheets>
    <sheet xmlns:r="http://schemas.openxmlformats.org/officeDocument/2006/relationships" name="Tableau" sheetId="1" state="visible" r:id="rId1"/>
    <sheet xmlns:r="http://schemas.openxmlformats.org/officeDocument/2006/relationships" name="Teilnehmer" sheetId="2" state="visible" r:id="rId2"/>
    <sheet xmlns:r="http://schemas.openxmlformats.org/officeDocument/2006/relationships" name="CSV Export" sheetId="3" state="visible" r:id="rId3"/>
  </sheets>
  <definedNames>
    <definedName name="_xlnm.Print_Area" localSheetId="0">'Tableau'!$A$1:$T$21</definedName>
    <definedName name="_xlnm.Print_Area" localSheetId="1">'Teilnehmer'!$A$1:$D$7</definedName>
    <definedName name="_xlnm.Print_Area" localSheetId="2">'CSV Export'!$A$1:$M$9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Bookman Old Style"/>
      <family val="1"/>
      <b val="1"/>
      <sz val="20"/>
      <u val="single"/>
    </font>
    <font>
      <name val="Times New Roman"/>
      <family val="1"/>
      <b val="1"/>
      <sz val="20"/>
      <u val="single"/>
    </font>
    <font>
      <name val="Arial"/>
      <family val="2"/>
      <b val="1"/>
      <sz val="9"/>
    </font>
    <font>
      <name val="Arial"/>
      <family val="2"/>
      <b val="1"/>
      <color indexed="9"/>
      <sz val="10"/>
    </font>
    <font>
      <name val="Arial"/>
      <family val="2"/>
      <color indexed="9"/>
      <sz val="10"/>
    </font>
    <font>
      <name val="Arial"/>
      <family val="2"/>
      <b val="1"/>
      <sz val="20"/>
    </font>
    <font>
      <b val="1"/>
      <color rgb="00FFFFF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2937"/>
      </patternFill>
    </fill>
    <fill>
      <patternFill patternType="solid">
        <fgColor rgb="00E2F0D9"/>
      </patternFill>
    </fill>
  </fills>
  <borders count="2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justify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6" applyAlignment="1" applyProtection="1" pivotButton="0" quotePrefix="0" xfId="0">
      <alignment horizontal="center" vertical="center"/>
      <protection locked="0" hidden="0"/>
    </xf>
    <xf numFmtId="16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164" fontId="0" fillId="0" borderId="11" applyAlignment="1" applyProtection="1" pivotButton="0" quotePrefix="0" xfId="0">
      <alignment horizontal="center" vertical="center"/>
      <protection locked="0" hidden="0"/>
    </xf>
    <xf numFmtId="2" fontId="0" fillId="0" borderId="9" applyAlignment="1" applyProtection="1" pivotButton="0" quotePrefix="0" xfId="0">
      <alignment horizontal="center" vertical="center"/>
      <protection locked="0" hidden="0"/>
    </xf>
    <xf numFmtId="2" fontId="0" fillId="0" borderId="11" applyAlignment="1" applyProtection="1" pivotButton="0" quotePrefix="0" xfId="0">
      <alignment horizontal="center" vertical="center"/>
      <protection locked="0" hidden="0"/>
    </xf>
    <xf numFmtId="164" fontId="0" fillId="0" borderId="8" applyAlignment="1" pivotButton="0" quotePrefix="0" xfId="0">
      <alignment horizontal="center" vertical="center"/>
    </xf>
    <xf numFmtId="0" fontId="7" fillId="0" borderId="0" pivotButton="0" quotePrefix="0" xfId="0"/>
    <xf numFmtId="2" fontId="0" fillId="0" borderId="12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horizontal="center" vertical="center"/>
      <protection locked="0" hidden="0"/>
    </xf>
    <xf numFmtId="0" fontId="0" fillId="3" borderId="14" applyAlignment="1" applyProtection="1" pivotButton="0" quotePrefix="0" xfId="0">
      <alignment horizontal="center" vertical="center"/>
      <protection locked="0" hidden="0"/>
    </xf>
    <xf numFmtId="0" fontId="0" fillId="3" borderId="4" applyAlignment="1" applyProtection="1" pivotButton="0" quotePrefix="0" xfId="0">
      <alignment horizontal="center" vertical="center"/>
      <protection locked="0" hidden="0"/>
    </xf>
    <xf numFmtId="0" fontId="0" fillId="3" borderId="6" applyAlignment="1" applyProtection="1" pivotButton="0" quotePrefix="0" xfId="0">
      <alignment horizontal="center" vertical="center"/>
      <protection locked="0" hidden="0"/>
    </xf>
    <xf numFmtId="0" fontId="0" fillId="4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applyProtection="1" pivotButton="0" quotePrefix="0" xfId="0">
      <alignment horizontal="right" vertical="top"/>
      <protection locked="0" hidden="0"/>
    </xf>
    <xf numFmtId="0" fontId="8" fillId="3" borderId="0" pivotButton="0" quotePrefix="0" xfId="0"/>
    <xf numFmtId="0" fontId="0" fillId="3" borderId="0" pivotButton="0" quotePrefix="0" xfId="0"/>
    <xf numFmtId="0" fontId="2" fillId="0" borderId="15" applyAlignment="1" applyProtection="1" pivotButton="0" quotePrefix="0" xfId="0">
      <alignment horizontal="center" vertical="center"/>
      <protection locked="0" hidden="0"/>
    </xf>
    <xf numFmtId="0" fontId="0" fillId="2" borderId="15" applyAlignment="1" pivotButton="0" quotePrefix="0" xfId="0">
      <alignment horizontal="center" vertical="center"/>
    </xf>
    <xf numFmtId="0" fontId="2" fillId="3" borderId="0" applyAlignment="1" applyProtection="1" pivotButton="0" quotePrefix="0" xfId="0">
      <alignment horizontal="center" vertical="center"/>
      <protection locked="0" hidden="0"/>
    </xf>
    <xf numFmtId="0" fontId="4" fillId="0" borderId="17" applyAlignment="1" pivotButton="0" quotePrefix="0" xfId="0">
      <alignment horizontal="center" vertical="top"/>
    </xf>
    <xf numFmtId="14" fontId="2" fillId="0" borderId="17" applyAlignment="1" pivotButton="0" quotePrefix="0" xfId="0">
      <alignment horizontal="center" vertical="top"/>
    </xf>
    <xf numFmtId="0" fontId="4" fillId="3" borderId="16" applyAlignment="1" applyProtection="1" pivotButton="0" quotePrefix="0" xfId="0">
      <alignment horizontal="center"/>
      <protection locked="0" hidden="0"/>
    </xf>
    <xf numFmtId="0" fontId="2" fillId="3" borderId="2" applyAlignment="1" applyProtection="1" pivotButton="0" quotePrefix="0" xfId="0">
      <alignment horizontal="center" vertical="center"/>
      <protection locked="0" hidden="0"/>
    </xf>
    <xf numFmtId="0" fontId="0" fillId="2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20" pivotButton="0" quotePrefix="0" xfId="0"/>
    <xf numFmtId="0" fontId="0" fillId="0" borderId="20" applyProtection="1" pivotButton="0" quotePrefix="0" xfId="0">
      <protection locked="0" hidden="0"/>
    </xf>
    <xf numFmtId="0" fontId="9" fillId="5" borderId="0" applyAlignment="1" pivotButton="0" quotePrefix="0" xfId="0">
      <alignment horizontal="center"/>
    </xf>
    <xf numFmtId="0" fontId="0" fillId="0" borderId="23" applyAlignment="1" pivotButton="0" quotePrefix="0" xfId="0">
      <alignment vertical="center"/>
    </xf>
    <xf numFmtId="0" fontId="0" fillId="6" borderId="23" applyAlignment="1" pivotButton="0" quotePrefix="0" xfId="0">
      <alignment vertical="center"/>
    </xf>
    <xf numFmtId="0" fontId="10" fillId="0" borderId="0" pivotButton="0" quotePrefix="0" xfId="0"/>
    <xf numFmtId="0" fontId="9" fillId="5" borderId="23" applyAlignment="1" pivotButton="0" quotePrefix="0" xfId="0">
      <alignment horizontal="center" vertical="center" wrapText="1"/>
    </xf>
  </cellXfs>
  <cellStyles count="2">
    <cellStyle name="Standard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4"/>
  <sheetViews>
    <sheetView showGridLines="0" tabSelected="1" zoomScale="93" zoomScaleNormal="93" workbookViewId="0">
      <selection activeCell="D10" sqref="D10"/>
    </sheetView>
  </sheetViews>
  <sheetFormatPr baseColWidth="10" defaultRowHeight="13.2"/>
  <cols>
    <col width="15.88671875" customWidth="1" style="1" min="1" max="1"/>
    <col width="6.88671875" customWidth="1" min="2" max="13"/>
    <col width="7.33203125" customWidth="1" min="14" max="20"/>
    <col width="6.33203125" customWidth="1" min="21" max="21"/>
    <col width="3.44140625" customWidth="1" min="23" max="23"/>
    <col width="11.109375" customWidth="1" min="24" max="24"/>
  </cols>
  <sheetData>
    <row r="1" ht="26.4" customHeight="1">
      <c r="A1" s="2" t="inlineStr">
        <is>
          <t>2=gewonnen     1=unentschieden</t>
        </is>
      </c>
      <c r="B1" s="3" t="n"/>
      <c r="C1" s="3" t="n"/>
      <c r="D1" s="45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9" t="n"/>
      <c r="Q1" s="34" t="n"/>
      <c r="R1" s="35" t="inlineStr">
        <is>
          <t>Ausrichter :</t>
        </is>
      </c>
      <c r="S1" s="42" t="inlineStr">
        <is>
          <t>BGH</t>
        </is>
      </c>
      <c r="T1" s="48" t="n"/>
    </row>
    <row r="2" ht="39.9" customHeight="1">
      <c r="A2" s="4" t="inlineStr">
        <is>
          <t>0=verloren</t>
        </is>
      </c>
      <c r="D2" s="43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36" t="n"/>
      <c r="R2" s="37" t="inlineStr">
        <is>
          <t>Datum :</t>
        </is>
      </c>
      <c r="S2" s="44">
        <f>TODAY()</f>
        <v/>
      </c>
      <c r="T2" s="50" t="n"/>
    </row>
    <row r="3" ht="24" customFormat="1" customHeight="1" s="9">
      <c r="A3" s="5" t="inlineStr">
        <is>
          <t>Name</t>
        </is>
      </c>
      <c r="B3" s="46">
        <f>IF(Teilnehmer!B2="","",Teilnehmer!B2)</f>
        <v/>
      </c>
      <c r="C3" s="51" t="n"/>
      <c r="D3" s="46">
        <f>IF(Teilnehmer!B3="","",Teilnehmer!B3)</f>
        <v/>
      </c>
      <c r="E3" s="51" t="n"/>
      <c r="F3" s="46">
        <f>IF(Teilnehmer!B4="","",Teilnehmer!B4)</f>
        <v/>
      </c>
      <c r="G3" s="51" t="n"/>
      <c r="H3" s="46">
        <f>IF(Teilnehmer!B5="","",Teilnehmer!B5)</f>
        <v/>
      </c>
      <c r="I3" s="51" t="n"/>
      <c r="J3" s="46" t="inlineStr"/>
      <c r="K3" s="51" t="n"/>
      <c r="L3" s="46" t="inlineStr"/>
      <c r="M3" s="51" t="n"/>
      <c r="N3" s="7" t="inlineStr">
        <is>
          <t>Partie-punkte</t>
        </is>
      </c>
      <c r="O3" s="6" t="inlineStr">
        <is>
          <t>Bälle</t>
        </is>
      </c>
      <c r="P3" s="7" t="inlineStr">
        <is>
          <t>Aufnah-men</t>
        </is>
      </c>
      <c r="Q3" s="8" t="inlineStr">
        <is>
          <t>BED</t>
        </is>
      </c>
      <c r="R3" s="6" t="inlineStr">
        <is>
          <t>DS</t>
        </is>
      </c>
      <c r="S3" s="6" t="inlineStr">
        <is>
          <t>HS</t>
        </is>
      </c>
      <c r="T3" s="8" t="inlineStr">
        <is>
          <t>Platz</t>
        </is>
      </c>
    </row>
    <row r="4" ht="20.1" customFormat="1" customHeight="1" s="15">
      <c r="A4" s="10" t="n"/>
      <c r="B4" s="11" t="inlineStr">
        <is>
          <t>Bälle</t>
        </is>
      </c>
      <c r="C4" s="12" t="inlineStr">
        <is>
          <t>Aufn.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10" t="n"/>
      <c r="O4" s="10" t="n"/>
      <c r="P4" s="10" t="n"/>
      <c r="Q4" s="14" t="n"/>
      <c r="R4" s="14" t="n"/>
      <c r="S4" s="10" t="n"/>
      <c r="T4" s="10" t="n"/>
    </row>
    <row r="5" ht="20.1" customFormat="1" customHeight="1" s="15">
      <c r="A5" s="16">
        <f>IF(B3&lt;&gt;"",B3,"")</f>
        <v/>
      </c>
      <c r="B5" s="41" t="inlineStr">
        <is>
          <t>Partiepunkte</t>
        </is>
      </c>
      <c r="C5" s="52" t="n"/>
      <c r="D5" s="40">
        <f>IF(D6="","",IF(D4&gt;B7,2,IF(D4&lt;B7,0,1)))</f>
        <v/>
      </c>
      <c r="E5" s="53" t="n"/>
      <c r="F5" s="40">
        <f>IF(F6="","",IF(F4&gt;B10,2,IF(F4&lt;B10,0,1)))</f>
        <v/>
      </c>
      <c r="G5" s="53" t="n"/>
      <c r="H5" s="40">
        <f>IF(H6="","",IF(H4&gt;B13,2,IF(H4&lt;B13,0,1)))</f>
        <v/>
      </c>
      <c r="I5" s="53" t="n"/>
      <c r="J5" s="40">
        <f>IF(J6="","",IF(J4&gt;B16,2,IF(J4&lt;B16,0,1)))</f>
        <v/>
      </c>
      <c r="K5" s="53" t="n"/>
      <c r="L5" s="40">
        <f>IF(L6="","",IF(L4&gt;B19,2,IF(L4&lt;B19,0,1)))</f>
        <v/>
      </c>
      <c r="M5" s="53" t="n"/>
      <c r="N5" s="17">
        <f>IF((AND(D5="",F5="",H5="",J5="",L5="")),"",SUM(B5:L5))</f>
        <v/>
      </c>
      <c r="O5" s="17">
        <f>IF(P5="","",SUM(D4,F4,H4,J4,L4))</f>
        <v/>
      </c>
      <c r="P5" s="17">
        <f>IF(Q5="","",SUM(E4,G4,I4,K4,M4))</f>
        <v/>
      </c>
      <c r="Q5" s="18">
        <f>IF((N5=""),"",MAX(IF(D5&gt;0,D6,0),IF(H5&gt;0,H6,0),IF(J5&gt;0,J6,0),IF(L5&gt;0,L6,0),IF(F5&gt;0,F6,0)))</f>
        <v/>
      </c>
      <c r="R5" s="18">
        <f>IF(P5="","",TRUNC(O5/P5,3))</f>
        <v/>
      </c>
      <c r="S5" s="17">
        <f>IF((E6+G6+I6+K6+M6)&gt;0,MAX(E6,G6,I6,K6,M6),"")</f>
        <v/>
      </c>
      <c r="T5" s="17">
        <f>IF(N5="","",RANK(V5,(V$5,V$8,V$11,V$14,V$17,V$20),0))</f>
        <v/>
      </c>
      <c r="V5" s="19">
        <f>IF(N5="",0,N5+(R5/1000)+(O5/100000000))</f>
        <v/>
      </c>
    </row>
    <row r="6" ht="20.1" customFormat="1" customHeight="1" s="15">
      <c r="A6" s="20" t="n"/>
      <c r="B6" s="21" t="inlineStr">
        <is>
          <t>DS</t>
        </is>
      </c>
      <c r="C6" s="22" t="inlineStr">
        <is>
          <t>HS</t>
        </is>
      </c>
      <c r="D6" s="23">
        <f>IF(E4&gt;0,TRUNC(D4/E4,3),"")</f>
        <v/>
      </c>
      <c r="E6" s="30" t="n"/>
      <c r="F6" s="23">
        <f>IF(G4&gt;0,TRUNC(F4/G4,3),"")</f>
        <v/>
      </c>
      <c r="G6" s="30" t="n"/>
      <c r="H6" s="23">
        <f>IF(I4&gt;0,TRUNC(H4/I4,3),"")</f>
        <v/>
      </c>
      <c r="I6" s="30" t="n"/>
      <c r="J6" s="24">
        <f>IF(K4&gt;0,TRUNC(J4/K4,3),"")</f>
        <v/>
      </c>
      <c r="K6" s="30" t="n"/>
      <c r="L6" s="25">
        <f>IF(M4&gt;0,TRUNC(L4/M4,3),"")</f>
        <v/>
      </c>
      <c r="M6" s="30" t="n"/>
      <c r="N6" s="20" t="n"/>
      <c r="O6" s="20" t="n"/>
      <c r="P6" s="20" t="n"/>
      <c r="Q6" s="26" t="n"/>
      <c r="R6" s="26" t="n"/>
      <c r="S6" s="20" t="n"/>
      <c r="T6" s="20" t="n"/>
      <c r="V6" s="27" t="n"/>
    </row>
    <row r="7" ht="20.1" customFormat="1" customHeight="1" s="15">
      <c r="A7" s="10" t="n"/>
      <c r="B7" s="29" t="n"/>
      <c r="C7" s="13">
        <f>IF(E4&gt;0,E4,"")</f>
        <v/>
      </c>
      <c r="D7" s="11" t="inlineStr">
        <is>
          <t>Bälle</t>
        </is>
      </c>
      <c r="E7" s="47" t="inlineStr">
        <is>
          <t>Aufn.</t>
        </is>
      </c>
      <c r="F7" s="29" t="n"/>
      <c r="G7" s="29" t="n"/>
      <c r="H7" s="29" t="n"/>
      <c r="I7" s="29" t="n"/>
      <c r="J7" s="29" t="n"/>
      <c r="K7" s="29" t="n"/>
      <c r="L7" s="29" t="n"/>
      <c r="M7" s="29" t="n"/>
      <c r="N7" s="10" t="n"/>
      <c r="O7" s="10" t="n"/>
      <c r="P7" s="10" t="n"/>
      <c r="Q7" s="14" t="n"/>
      <c r="R7" s="14" t="n"/>
      <c r="S7" s="10" t="n"/>
      <c r="T7" s="10" t="n"/>
      <c r="V7" s="27" t="n"/>
    </row>
    <row r="8" ht="20.1" customFormat="1" customHeight="1" s="15">
      <c r="A8" s="16">
        <f>IF(D3&lt;&gt;"",D3,"")</f>
        <v/>
      </c>
      <c r="B8" s="40">
        <f>IF(B9="","",IF(B7&gt;D4,2,IF(B7&lt;D4,0,1)))</f>
        <v/>
      </c>
      <c r="C8" s="53" t="n"/>
      <c r="D8" s="41" t="inlineStr">
        <is>
          <t>Partiepunkte</t>
        </is>
      </c>
      <c r="E8" s="52" t="n"/>
      <c r="F8" s="40">
        <f>IF(F9="","",IF(F7&gt;D10,2,IF(F7&lt;D10,0,1)))</f>
        <v/>
      </c>
      <c r="G8" s="53" t="n"/>
      <c r="H8" s="40">
        <f>IF(H9="","",IF(H7&gt;D13,2,IF(H7&lt;D13,0,1)))</f>
        <v/>
      </c>
      <c r="I8" s="53" t="n"/>
      <c r="J8" s="40">
        <f>IF(J9="","",IF(J7&gt;D16,2,IF(J7&lt;D16,0,1)))</f>
        <v/>
      </c>
      <c r="K8" s="53" t="n"/>
      <c r="L8" s="40">
        <f>IF(L9="","",IF(L7&gt;D19,2,IF(L7&lt;D19,0,1)))</f>
        <v/>
      </c>
      <c r="M8" s="53" t="n"/>
      <c r="N8" s="17">
        <f>IF((AND(B8="",F8="",H8="",J8="",L8="")),"",SUM(B8:L8))</f>
        <v/>
      </c>
      <c r="O8" s="17">
        <f>IF(P8="","",SUM(B7,F7,H7,J7,L7))</f>
        <v/>
      </c>
      <c r="P8" s="17">
        <f>IF(Q8="","",SUM(C7,G7,I7,K7,M7))</f>
        <v/>
      </c>
      <c r="Q8" s="18">
        <f>IF((N8=""),"",MAX(IF(B8&gt;0,B9,0),IF(H8&gt;0,H9,0),IF(J8&gt;0,J9,0),IF(L8&gt;0,L9,0),IF(F8&gt;0,F9,0)))</f>
        <v/>
      </c>
      <c r="R8" s="18">
        <f>IF(P8="","",TRUNC(O8/P8,3))</f>
        <v/>
      </c>
      <c r="S8" s="17">
        <f>IF((C9+G9+I9+K9+M9)&gt;0,MAX(C9,G9,I9,K9,M9),"")</f>
        <v/>
      </c>
      <c r="T8" s="17">
        <f>IF(N8="","",RANK(V8,(V$5,V$8,V$11,V$14,V$17,V$20),0))</f>
        <v/>
      </c>
      <c r="V8" s="19">
        <f>IF(N8="",0,N8+(R8/1000)+(O8/100000000))</f>
        <v/>
      </c>
    </row>
    <row r="9" ht="20.1" customFormat="1" customHeight="1" s="15">
      <c r="A9" s="20" t="n"/>
      <c r="B9" s="23">
        <f>IF(C7="","",TRUNC(B7/C7,3))</f>
        <v/>
      </c>
      <c r="C9" s="30" t="n"/>
      <c r="D9" s="21" t="inlineStr">
        <is>
          <t>DS</t>
        </is>
      </c>
      <c r="E9" s="22" t="inlineStr">
        <is>
          <t>HS</t>
        </is>
      </c>
      <c r="F9" s="23">
        <f>IF(G7&gt;0,TRUNC(F7/G7,3),"")</f>
        <v/>
      </c>
      <c r="G9" s="30" t="n"/>
      <c r="H9" s="23">
        <f>IF(I7&gt;0,TRUNC(H7/I7,3),"")</f>
        <v/>
      </c>
      <c r="I9" s="30" t="n"/>
      <c r="J9" s="24">
        <f>IF(K7&gt;0,TRUNC(J7/K7,3),"")</f>
        <v/>
      </c>
      <c r="K9" s="30" t="n"/>
      <c r="L9" s="25">
        <f>IF(M7&gt;0,TRUNC(L7/M7,3),"")</f>
        <v/>
      </c>
      <c r="M9" s="30" t="n"/>
      <c r="N9" s="20" t="n"/>
      <c r="O9" s="20" t="n"/>
      <c r="P9" s="20" t="n"/>
      <c r="Q9" s="26" t="n"/>
      <c r="R9" s="26" t="n"/>
      <c r="S9" s="20" t="n"/>
      <c r="T9" s="20" t="n"/>
      <c r="V9" s="27" t="n"/>
    </row>
    <row r="10" ht="19.5" customFormat="1" customHeight="1" s="15">
      <c r="A10" s="10" t="n"/>
      <c r="B10" s="29" t="n"/>
      <c r="C10" s="13">
        <f>IF(G4&gt;0,G4,"")</f>
        <v/>
      </c>
      <c r="D10" s="29" t="n"/>
      <c r="E10" s="13">
        <f>IF(G7&gt;0,G7,"")</f>
        <v/>
      </c>
      <c r="F10" s="11" t="inlineStr">
        <is>
          <t>Bälle</t>
        </is>
      </c>
      <c r="G10" s="12" t="inlineStr">
        <is>
          <t>Aufn.</t>
        </is>
      </c>
      <c r="H10" s="29" t="n"/>
      <c r="I10" s="29" t="n"/>
      <c r="J10" s="29" t="n"/>
      <c r="K10" s="29" t="n"/>
      <c r="L10" s="29" t="n"/>
      <c r="M10" s="29" t="n"/>
      <c r="N10" s="10" t="n"/>
      <c r="O10" s="10" t="n"/>
      <c r="P10" s="10" t="n"/>
      <c r="Q10" s="14" t="n"/>
      <c r="R10" s="14" t="n"/>
      <c r="S10" s="10" t="n"/>
      <c r="T10" s="10" t="n"/>
      <c r="V10" s="27" t="n"/>
    </row>
    <row r="11" ht="20.1" customFormat="1" customHeight="1" s="15">
      <c r="A11" s="16">
        <f>IF(F3&lt;&gt;"",F3,"")</f>
        <v/>
      </c>
      <c r="B11" s="40">
        <f>IF(B12="","",IF(B10&gt;F4,2,IF(B10&lt;F4,0,1)))</f>
        <v/>
      </c>
      <c r="C11" s="53" t="n"/>
      <c r="D11" s="40">
        <f>IF(D12="","",IF(D10&gt;F7,2,IF(D10&lt;F7,0,1)))</f>
        <v/>
      </c>
      <c r="E11" s="53" t="n"/>
      <c r="F11" s="41" t="inlineStr">
        <is>
          <t>Partiepunkte</t>
        </is>
      </c>
      <c r="G11" s="52" t="n"/>
      <c r="H11" s="40">
        <f>IF(H12="","",IF(H10&gt;F13,2,IF(H10&lt;F13,0,1)))</f>
        <v/>
      </c>
      <c r="I11" s="53" t="n"/>
      <c r="J11" s="40">
        <f>IF(J12="","",IF(J10&gt;F16,2,IF(J10&lt;F16,0,1)))</f>
        <v/>
      </c>
      <c r="K11" s="53" t="n"/>
      <c r="L11" s="40">
        <f>IF(L12="","",IF(L10&gt;F19,2,IF(L10&lt;F19,0,1)))</f>
        <v/>
      </c>
      <c r="M11" s="53" t="n"/>
      <c r="N11" s="17">
        <f>IF((AND(B11="",D11="",H11="",J11="",L11="")),"",SUM(B11:L11))</f>
        <v/>
      </c>
      <c r="O11" s="17">
        <f>IF(P11="","",SUM(D10,B10,H10,J10,L10))</f>
        <v/>
      </c>
      <c r="P11" s="17">
        <f>IF(Q11="","",SUM(E10,C10,I10,K10,M10))</f>
        <v/>
      </c>
      <c r="Q11" s="18">
        <f>IF((N11=""),"",MAX(IF(D11&gt;0,D12,0),IF(H11&gt;0,H12,0),IF(J11&gt;0,J12,0),IF(L11&gt;0,L12,0),IF(B11&gt;0,B12,0)))</f>
        <v/>
      </c>
      <c r="R11" s="18">
        <f>IF(P11="","",TRUNC(O11/P11,3))</f>
        <v/>
      </c>
      <c r="S11" s="17">
        <f>IF((E12+C12+I12+K12+M12)&gt;0,MAX(E12,C12,I12,K12,M12),"")</f>
        <v/>
      </c>
      <c r="T11" s="17">
        <f>IF(N11="","",RANK(V11,(V$5,V$8,V$11,V$14,V$17,V$20),0))</f>
        <v/>
      </c>
      <c r="V11" s="19">
        <f>IF(N11="",0,N11+(R11/1000)+(O11/100000000))</f>
        <v/>
      </c>
    </row>
    <row r="12" ht="20.1" customFormat="1" customHeight="1" s="15">
      <c r="A12" s="20" t="n"/>
      <c r="B12" s="23">
        <f>IF(C10="","",TRUNC(B10/C10,3))</f>
        <v/>
      </c>
      <c r="C12" s="30" t="n"/>
      <c r="D12" s="23">
        <f>IF(E10="","",TRUNC(D10/E10,3))</f>
        <v/>
      </c>
      <c r="E12" s="30" t="n"/>
      <c r="F12" s="21" t="inlineStr">
        <is>
          <t>DS</t>
        </is>
      </c>
      <c r="G12" s="22" t="inlineStr">
        <is>
          <t>HS</t>
        </is>
      </c>
      <c r="H12" s="23">
        <f>IF(I10&gt;0,TRUNC(H10/I10,3),"")</f>
        <v/>
      </c>
      <c r="I12" s="30" t="n"/>
      <c r="J12" s="24">
        <f>IF(K10&gt;0,TRUNC(J10/K10,3),"")</f>
        <v/>
      </c>
      <c r="K12" s="30" t="n"/>
      <c r="L12" s="25">
        <f>IF(M10&gt;0,TRUNC(L10/M10,3),"")</f>
        <v/>
      </c>
      <c r="M12" s="30" t="n"/>
      <c r="N12" s="20" t="n"/>
      <c r="O12" s="20" t="n"/>
      <c r="P12" s="20" t="n"/>
      <c r="Q12" s="26" t="n"/>
      <c r="R12" s="26" t="n"/>
      <c r="S12" s="20" t="n"/>
      <c r="T12" s="20" t="n"/>
      <c r="V12" s="27" t="n"/>
    </row>
    <row r="13" ht="20.1" customFormat="1" customHeight="1" s="15">
      <c r="A13" s="10" t="n"/>
      <c r="B13" s="29" t="n"/>
      <c r="C13" s="13">
        <f>IF(I4&gt;0,I4,"")</f>
        <v/>
      </c>
      <c r="D13" s="29" t="n"/>
      <c r="E13" s="13">
        <f>IF(I7&gt;0,I7,"")</f>
        <v/>
      </c>
      <c r="F13" s="29" t="n"/>
      <c r="G13" s="13">
        <f>IF(I10&gt;0,I10,"")</f>
        <v/>
      </c>
      <c r="H13" s="11" t="inlineStr">
        <is>
          <t>Bälle</t>
        </is>
      </c>
      <c r="I13" s="12" t="inlineStr">
        <is>
          <t>Aufn.</t>
        </is>
      </c>
      <c r="J13" s="31" t="n"/>
      <c r="K13" s="31" t="n"/>
      <c r="L13" s="31" t="n"/>
      <c r="M13" s="31" t="n"/>
      <c r="N13" s="10" t="n"/>
      <c r="O13" s="10" t="n"/>
      <c r="P13" s="10" t="n"/>
      <c r="Q13" s="14" t="n"/>
      <c r="R13" s="14" t="n"/>
      <c r="S13" s="10" t="n"/>
      <c r="T13" s="10" t="n"/>
      <c r="V13" s="27" t="n"/>
    </row>
    <row r="14" ht="19.5" customFormat="1" customHeight="1" s="15">
      <c r="A14" s="16">
        <f>IF(H3&lt;&gt;"",H3,"")</f>
        <v/>
      </c>
      <c r="B14" s="40">
        <f>IF(B15="","",IF(B13&gt;H4,2,IF(B13&lt;H4,0,1)))</f>
        <v/>
      </c>
      <c r="C14" s="53" t="n"/>
      <c r="D14" s="40">
        <f>IF(D15="","",IF(D13&gt;H7,2,IF(D13&lt;H7,0,1)))</f>
        <v/>
      </c>
      <c r="E14" s="53" t="n"/>
      <c r="F14" s="40">
        <f>IF(F15="","",IF(F13&gt;H10,2,IF(F13&lt;H10,0,1)))</f>
        <v/>
      </c>
      <c r="G14" s="53" t="n"/>
      <c r="H14" s="41" t="inlineStr">
        <is>
          <t>Partiepunkte</t>
        </is>
      </c>
      <c r="I14" s="52" t="n"/>
      <c r="J14" s="40">
        <f>IF(J15="","",IF(J13&gt;H16,2,IF(J13&lt;H16,0,1)))</f>
        <v/>
      </c>
      <c r="K14" s="53" t="n"/>
      <c r="L14" s="40">
        <f>IF(L15="","",IF(L13&gt;H19,2,IF(L13&lt;H19,0,1)))</f>
        <v/>
      </c>
      <c r="M14" s="53" t="n"/>
      <c r="N14" s="17">
        <f>IF((AND(B14="",D14="",F14="",J14="",L14="")),"",SUM(B14:L14))</f>
        <v/>
      </c>
      <c r="O14" s="17">
        <f>IF(P14="","",SUM(D13,F13,B13,J13,L13))</f>
        <v/>
      </c>
      <c r="P14" s="17">
        <f>IF(Q14="","",SUM(E13,G13,C13,K13,M13))</f>
        <v/>
      </c>
      <c r="Q14" s="18">
        <f>IF((N14=""),"",MAX(IF(D14&gt;0,D15,0),IF(B14&gt;0,B15,0),IF(J14&gt;0,J15,0),IF(L14&gt;0,L15,0),IF(F14&gt;0,F15,0)))</f>
        <v/>
      </c>
      <c r="R14" s="18">
        <f>IF(P14="","",TRUNC(O14/P14,3))</f>
        <v/>
      </c>
      <c r="S14" s="17">
        <f>IF((E15+G15+C15+K15+M15)&gt;0,MAX(E15,G15,C15,K15,M15),"")</f>
        <v/>
      </c>
      <c r="T14" s="17">
        <f>IF(N14="","",RANK(V14,(V$5,V$8,V$11,V$14,V$17,V$20),0))</f>
        <v/>
      </c>
      <c r="V14" s="19">
        <f>IF(N14="",0,N14+(R14/1000)+(O14/100000000))</f>
        <v/>
      </c>
    </row>
    <row r="15" ht="20.1" customFormat="1" customHeight="1" s="15">
      <c r="A15" s="20" t="n"/>
      <c r="B15" s="23">
        <f>IF(C13="","",TRUNC(B13/C13,3))</f>
        <v/>
      </c>
      <c r="C15" s="30" t="n"/>
      <c r="D15" s="23">
        <f>IF(E13="","",TRUNC(D13/E13,3))</f>
        <v/>
      </c>
      <c r="E15" s="30" t="n"/>
      <c r="F15" s="23">
        <f>IF(G13="","",TRUNC(F13/G13,3))</f>
        <v/>
      </c>
      <c r="G15" s="30" t="n"/>
      <c r="H15" s="21" t="inlineStr">
        <is>
          <t>DS</t>
        </is>
      </c>
      <c r="I15" s="22" t="inlineStr">
        <is>
          <t>HS</t>
        </is>
      </c>
      <c r="J15" s="24">
        <f>IF(K13&gt;0,TRUNC(J13/K13,3),"")</f>
        <v/>
      </c>
      <c r="K15" s="30" t="n"/>
      <c r="L15" s="25">
        <f>IF(M13&gt;0,TRUNC(L13/M13,3),"")</f>
        <v/>
      </c>
      <c r="M15" s="30" t="n"/>
      <c r="N15" s="20" t="n"/>
      <c r="O15" s="20" t="n"/>
      <c r="P15" s="20" t="n"/>
      <c r="Q15" s="26" t="n"/>
      <c r="R15" s="26" t="n"/>
      <c r="S15" s="20" t="n"/>
      <c r="T15" s="20" t="n"/>
      <c r="V15" s="27" t="n"/>
      <c r="X15" s="33" t="n"/>
    </row>
    <row r="16" ht="20.1" customFormat="1" customHeight="1" s="15">
      <c r="A16" s="10" t="n"/>
      <c r="B16" s="29" t="n"/>
      <c r="C16" s="13">
        <f>IF(K4&gt;0,K4,"")</f>
        <v/>
      </c>
      <c r="D16" s="29" t="n"/>
      <c r="E16" s="13">
        <f>IF(K7&gt;0,K7,"")</f>
        <v/>
      </c>
      <c r="F16" s="29" t="n"/>
      <c r="G16" s="13">
        <f>IF(K10&gt;0,K10,"")</f>
        <v/>
      </c>
      <c r="H16" s="29" t="n"/>
      <c r="I16" s="13">
        <f>IF(K13&gt;0,K13,"")</f>
        <v/>
      </c>
      <c r="J16" s="11" t="inlineStr">
        <is>
          <t>Bälle</t>
        </is>
      </c>
      <c r="K16" s="12" t="inlineStr">
        <is>
          <t>Aufn.</t>
        </is>
      </c>
      <c r="L16" s="29" t="n"/>
      <c r="M16" s="32" t="n"/>
      <c r="N16" s="10" t="n"/>
      <c r="O16" s="10" t="n"/>
      <c r="P16" s="10" t="n"/>
      <c r="Q16" s="14" t="n"/>
      <c r="R16" s="14" t="n"/>
      <c r="S16" s="10" t="n"/>
      <c r="T16" s="10" t="n"/>
      <c r="V16" s="27" t="n"/>
    </row>
    <row r="17" ht="20.1" customFormat="1" customHeight="1" s="15">
      <c r="A17" s="16">
        <f>IF(J3&lt;&gt;"",J3,"")</f>
        <v/>
      </c>
      <c r="B17" s="40">
        <f>IF(B18="","",IF(B16&gt;J4,2,IF(B16&lt;J4,0,1)))</f>
        <v/>
      </c>
      <c r="C17" s="53" t="n"/>
      <c r="D17" s="40">
        <f>IF(D18="","",IF(D16&gt;J7,2,IF(D16&lt;J7,0,1)))</f>
        <v/>
      </c>
      <c r="E17" s="53" t="n"/>
      <c r="F17" s="40">
        <f>IF(F18="","",IF(F16&gt;J10,2,IF(F16&lt;J10,0,1)))</f>
        <v/>
      </c>
      <c r="G17" s="53" t="n"/>
      <c r="H17" s="40">
        <f>IF(H18="","",IF(H16&gt;J13,2,IF(H16&lt;J13,0,1)))</f>
        <v/>
      </c>
      <c r="I17" s="53" t="n"/>
      <c r="J17" s="41" t="inlineStr">
        <is>
          <t>Partiepunkte</t>
        </is>
      </c>
      <c r="K17" s="52" t="n"/>
      <c r="L17" s="40">
        <f>IF(L18="","",IF(L16&gt;J19,2,IF(L16&lt;J19,0,1)))</f>
        <v/>
      </c>
      <c r="M17" s="53" t="n"/>
      <c r="N17" s="17">
        <f>IF((AND(B17="",D17="",F17="",H17="",L17="")),"",SUM(B17:L17))</f>
        <v/>
      </c>
      <c r="O17" s="17">
        <f>IF(P17="","",SUM(D16,F16,H16,B16,L16))</f>
        <v/>
      </c>
      <c r="P17" s="17">
        <f>IF(Q17="","",SUM(E16,G16,I16,C16,M16))</f>
        <v/>
      </c>
      <c r="Q17" s="18">
        <f>IF((N17=""),"",MAX(IF(D17&gt;0,D18,0),IF(H17&gt;0,H18,0),IF(B17&gt;0,B18,0),IF(L17&gt;0,L18,0),IF(F17&gt;0,F18,0)))</f>
        <v/>
      </c>
      <c r="R17" s="18">
        <f>IF(P17="","",TRUNC(O17/P17,3))</f>
        <v/>
      </c>
      <c r="S17" s="17">
        <f>IF((E18+G18+I18+C18+M18)&gt;0,MAX(E18,G18,I18,C18,M18),"")</f>
        <v/>
      </c>
      <c r="T17" s="17">
        <f>IF(N17="","",RANK(V17,(V$5,V$8,V$11,V$14,V$17,V$20),0))</f>
        <v/>
      </c>
      <c r="V17" s="19">
        <f>IF(N17="",0,N17+(R17/1000)+(O17/100000000))</f>
        <v/>
      </c>
    </row>
    <row r="18" ht="20.1" customFormat="1" customHeight="1" s="15">
      <c r="A18" s="20" t="n"/>
      <c r="B18" s="23">
        <f>IF(C16="","",TRUNC(B16/C16,3))</f>
        <v/>
      </c>
      <c r="C18" s="30" t="n"/>
      <c r="D18" s="23">
        <f>IF(E16="","",TRUNC(D16/E16,3))</f>
        <v/>
      </c>
      <c r="E18" s="30" t="n"/>
      <c r="F18" s="23">
        <f>IF(G16="","",TRUNC(F16/G16,3))</f>
        <v/>
      </c>
      <c r="G18" s="30" t="n"/>
      <c r="H18" s="23">
        <f>IF(I16="","",TRUNC(H16/I16,3))</f>
        <v/>
      </c>
      <c r="I18" s="30" t="n"/>
      <c r="J18" s="21" t="inlineStr">
        <is>
          <t>DS</t>
        </is>
      </c>
      <c r="K18" s="22" t="inlineStr">
        <is>
          <t>HS</t>
        </is>
      </c>
      <c r="L18" s="25">
        <f>IF(M16&gt;0,TRUNC(L16/M16,3),"")</f>
        <v/>
      </c>
      <c r="M18" s="30" t="n"/>
      <c r="N18" s="20" t="n"/>
      <c r="O18" s="20" t="n"/>
      <c r="P18" s="20" t="n"/>
      <c r="Q18" s="26" t="n"/>
      <c r="R18" s="26" t="n"/>
      <c r="S18" s="20" t="n"/>
      <c r="T18" s="20" t="n"/>
      <c r="V18" s="27" t="n"/>
    </row>
    <row r="19" ht="20.1" customFormat="1" customHeight="1" s="15">
      <c r="A19" s="10" t="n"/>
      <c r="B19" s="29" t="n"/>
      <c r="C19" s="13">
        <f>IF(M4&gt;0,M4,"")</f>
        <v/>
      </c>
      <c r="D19" s="29" t="n"/>
      <c r="E19" s="13">
        <f>IF(M7&gt;0,M7,"")</f>
        <v/>
      </c>
      <c r="F19" s="29" t="n"/>
      <c r="G19" s="13">
        <f>IF(M10&gt;0,M10,"")</f>
        <v/>
      </c>
      <c r="H19" s="29" t="n"/>
      <c r="I19" s="13">
        <f>IF(M13&gt;0,M13,"")</f>
        <v/>
      </c>
      <c r="J19" s="31" t="n"/>
      <c r="K19" s="13">
        <f>IF(M16&gt;0,M16,"")</f>
        <v/>
      </c>
      <c r="L19" s="11" t="inlineStr">
        <is>
          <t>Bälle</t>
        </is>
      </c>
      <c r="M19" s="12" t="inlineStr">
        <is>
          <t>Aufn.</t>
        </is>
      </c>
      <c r="N19" s="10" t="n"/>
      <c r="O19" s="10" t="n"/>
      <c r="P19" s="10" t="n"/>
      <c r="Q19" s="14" t="n"/>
      <c r="R19" s="14" t="n"/>
      <c r="S19" s="10" t="n"/>
      <c r="T19" s="10" t="n"/>
      <c r="V19" s="27" t="n"/>
    </row>
    <row r="20" ht="20.1" customFormat="1" customHeight="1" s="15">
      <c r="A20" s="16">
        <f>IF(L3&lt;&gt;"",L3,"")</f>
        <v/>
      </c>
      <c r="B20" s="40">
        <f>IF(B21="","",IF(B19&gt;L4,2,IF(B19&lt;L4,0,1)))</f>
        <v/>
      </c>
      <c r="C20" s="53" t="n"/>
      <c r="D20" s="40">
        <f>IF(D21="","",IF(D19&gt;L7,2,IF(D19&lt;L7,0,1)))</f>
        <v/>
      </c>
      <c r="E20" s="53" t="n"/>
      <c r="F20" s="40">
        <f>IF(F21="","",IF(F19&gt;L10,2,IF(F19&lt;L10,0,1)))</f>
        <v/>
      </c>
      <c r="G20" s="53" t="n"/>
      <c r="H20" s="40">
        <f>IF(H21="","",IF(H19&gt;L13,2,IF(H19&lt;L13,0,1)))</f>
        <v/>
      </c>
      <c r="I20" s="53" t="n"/>
      <c r="J20" s="40">
        <f>IF(J21="","",IF(J19&gt;L16,2,IF(J19&lt;L16,0,1)))</f>
        <v/>
      </c>
      <c r="K20" s="53" t="n"/>
      <c r="L20" s="41" t="inlineStr">
        <is>
          <t>Partiepunkte</t>
        </is>
      </c>
      <c r="M20" s="52" t="n"/>
      <c r="N20" s="17">
        <f>IF((AND(B20="",D20="",F20="",H20="",J20="")),"",SUM(B20:L20))</f>
        <v/>
      </c>
      <c r="O20" s="17">
        <f>IF(P20="","",SUM(D19,F19,H19,J19,B19))</f>
        <v/>
      </c>
      <c r="P20" s="17">
        <f>IF(Q20="","",SUM(E19,G19,I19,K19,C19))</f>
        <v/>
      </c>
      <c r="Q20" s="18">
        <f>IF((N20=""),"",MAX(IF(D20&gt;0,D21,0),IF(H20&gt;0,H21,0),IF(J20&gt;0,J21,0),IF(B20&gt;0,B21,0),IF(F20&gt;0,F21,0)))</f>
        <v/>
      </c>
      <c r="R20" s="18">
        <f>IF(P20="","",TRUNC(O20/P20,3))</f>
        <v/>
      </c>
      <c r="S20" s="17">
        <f>IF((E21+G21+I21+K21+C21)&gt;0,MAX(E21,G21,I21,K21,C21),"")</f>
        <v/>
      </c>
      <c r="T20" s="17">
        <f>IF(N20="","",RANK(V20,(V$5,V$8,V$11,V$14,V$17,V$20),0))</f>
        <v/>
      </c>
      <c r="V20" s="19">
        <f>IF(N20="",0,N20+(R20/1000)+(O20/100000000))</f>
        <v/>
      </c>
    </row>
    <row r="21" ht="20.1" customFormat="1" customHeight="1" s="15">
      <c r="A21" s="20" t="n"/>
      <c r="B21" s="23">
        <f>IF(C19="","",TRUNC(B19/C19,3))</f>
        <v/>
      </c>
      <c r="C21" s="30" t="n"/>
      <c r="D21" s="23">
        <f>IF(E19="","",TRUNC(D19/E19,3))</f>
        <v/>
      </c>
      <c r="E21" s="30" t="n"/>
      <c r="F21" s="23">
        <f>IF(G19="","",TRUNC(F19/G19,3))</f>
        <v/>
      </c>
      <c r="G21" s="30" t="n"/>
      <c r="H21" s="23">
        <f>IF(I19="","",TRUNC(H19/I19,3))</f>
        <v/>
      </c>
      <c r="I21" s="30" t="n"/>
      <c r="J21" s="28">
        <f>IF(K19="","",TRUNC(J19/K19,3))</f>
        <v/>
      </c>
      <c r="K21" s="30" t="n"/>
      <c r="L21" s="21" t="inlineStr">
        <is>
          <t>DS</t>
        </is>
      </c>
      <c r="M21" s="22" t="inlineStr">
        <is>
          <t>HS</t>
        </is>
      </c>
      <c r="N21" s="20" t="n"/>
      <c r="O21" s="20" t="n"/>
      <c r="P21" s="20" t="n"/>
      <c r="Q21" s="26" t="n"/>
      <c r="R21" s="26" t="n"/>
      <c r="S21" s="20" t="n"/>
      <c r="T21" s="20" t="n"/>
      <c r="V21" s="27" t="n"/>
    </row>
    <row r="24" ht="24.6" customHeight="1">
      <c r="E24" s="38" t="inlineStr">
        <is>
          <t>nur grüne Felder ausfüllen !!!</t>
        </is>
      </c>
      <c r="F24" s="38" t="n"/>
      <c r="G24" s="38" t="n"/>
      <c r="H24" s="38" t="n"/>
      <c r="I24" s="39" t="n"/>
      <c r="J24" s="39" t="n"/>
      <c r="K24" s="39" t="n"/>
      <c r="L24" s="39" t="n"/>
    </row>
  </sheetData>
  <mergeCells count="46">
    <mergeCell ref="L17:M17"/>
    <mergeCell ref="D20:E20"/>
    <mergeCell ref="F11:G11"/>
    <mergeCell ref="H20:I20"/>
    <mergeCell ref="J5:K5"/>
    <mergeCell ref="B3:C3"/>
    <mergeCell ref="J14:K14"/>
    <mergeCell ref="F3:G3"/>
    <mergeCell ref="L3:M3"/>
    <mergeCell ref="S2:T2"/>
    <mergeCell ref="B11:C11"/>
    <mergeCell ref="D11:E11"/>
    <mergeCell ref="F5:G5"/>
    <mergeCell ref="F20:G20"/>
    <mergeCell ref="B14:C14"/>
    <mergeCell ref="L5:M5"/>
    <mergeCell ref="B17:C17"/>
    <mergeCell ref="D1:P1"/>
    <mergeCell ref="B8:C8"/>
    <mergeCell ref="L8:M8"/>
    <mergeCell ref="L14:M14"/>
    <mergeCell ref="D17:E17"/>
    <mergeCell ref="F17:G17"/>
    <mergeCell ref="F8:G8"/>
    <mergeCell ref="H17:I17"/>
    <mergeCell ref="H11:I11"/>
    <mergeCell ref="J11:K11"/>
    <mergeCell ref="J20:K20"/>
    <mergeCell ref="L20:M20"/>
    <mergeCell ref="D3:E3"/>
    <mergeCell ref="D2:P2"/>
    <mergeCell ref="H3:I3"/>
    <mergeCell ref="D8:E8"/>
    <mergeCell ref="J3:K3"/>
    <mergeCell ref="H8:I8"/>
    <mergeCell ref="B5:C5"/>
    <mergeCell ref="B20:C20"/>
    <mergeCell ref="S1:T1"/>
    <mergeCell ref="D5:E5"/>
    <mergeCell ref="L11:M11"/>
    <mergeCell ref="H5:I5"/>
    <mergeCell ref="D14:E14"/>
    <mergeCell ref="F14:G14"/>
    <mergeCell ref="H14:I14"/>
    <mergeCell ref="J8:K8"/>
    <mergeCell ref="J17:K17"/>
  </mergeCells>
  <printOptions horizontalCentered="1" verticalCentered="1"/>
  <pageMargins left="0.7875" right="0.7875" top="0.2756944444444445" bottom="0.1965277777777778" header="0.5118055555555555" footer="0.5118055555555555"/>
  <pageSetup orientation="landscape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34" customWidth="1" min="4" max="4"/>
  </cols>
  <sheetData>
    <row r="1">
      <c r="A1" s="54" t="inlineStr">
        <is>
          <t>Setzposition</t>
        </is>
      </c>
      <c r="B1" s="54" t="inlineStr">
        <is>
          <t>Spieler</t>
        </is>
      </c>
      <c r="C1" s="54" t="inlineStr">
        <is>
          <t>Passnummer</t>
        </is>
      </c>
      <c r="D1" s="54" t="inlineStr">
        <is>
          <t>Hinweis</t>
        </is>
      </c>
    </row>
    <row r="2">
      <c r="A2" s="55" t="n">
        <v>1</v>
      </c>
      <c r="B2" s="56" t="inlineStr"/>
      <c r="C2" s="56" t="inlineStr"/>
      <c r="D2" s="55" t="inlineStr">
        <is>
          <t>Name und Passnummer hier eintragen</t>
        </is>
      </c>
    </row>
    <row r="3">
      <c r="A3" s="55" t="n">
        <v>2</v>
      </c>
      <c r="B3" s="56" t="inlineStr"/>
      <c r="C3" s="56" t="inlineStr"/>
      <c r="D3" s="55" t="inlineStr">
        <is>
          <t>Name und Passnummer hier eintragen</t>
        </is>
      </c>
    </row>
    <row r="4">
      <c r="A4" s="55" t="n">
        <v>3</v>
      </c>
      <c r="B4" s="56" t="inlineStr"/>
      <c r="C4" s="56" t="inlineStr"/>
      <c r="D4" s="55" t="inlineStr">
        <is>
          <t>Name und Passnummer hier eintragen</t>
        </is>
      </c>
    </row>
    <row r="5">
      <c r="A5" s="55" t="n">
        <v>4</v>
      </c>
      <c r="B5" s="56" t="inlineStr"/>
      <c r="C5" s="56" t="inlineStr"/>
      <c r="D5" s="55" t="inlineStr">
        <is>
          <t>Name und Passnummer hier eintragen</t>
        </is>
      </c>
    </row>
    <row r="7">
      <c r="A7" s="57" t="inlineStr">
        <is>
          <t>Diese vier Namen werden automatisch in das Blatt Tableau übernommen. CSV Export verwendet die Passnummern.</t>
        </is>
      </c>
    </row>
  </sheetData>
  <mergeCells count="1">
    <mergeCell ref="A7:D7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  <col width="20" customWidth="1" min="11" max="11"/>
    <col width="14" customWidth="1" min="12" max="12"/>
    <col width="10" customWidth="1" min="13" max="13"/>
  </cols>
  <sheetData>
    <row r="1" ht="24" customHeight="1">
      <c r="A1" s="58" t="inlineStr">
        <is>
          <t>GRUPPE/RUNDE</t>
        </is>
      </c>
      <c r="B1" s="58" t="inlineStr">
        <is>
          <t>PARTIE</t>
        </is>
      </c>
      <c r="C1" s="58" t="inlineStr">
        <is>
          <t>SATZ-NR.</t>
        </is>
      </c>
      <c r="D1" s="58" t="inlineStr">
        <is>
          <t>PASS-NR. SPIELER 1</t>
        </is>
      </c>
      <c r="E1" s="58" t="inlineStr">
        <is>
          <t>PASS-NR. SPIELER 2</t>
        </is>
      </c>
      <c r="F1" s="58" t="inlineStr">
        <is>
          <t>PUNKTE SPIELER 1</t>
        </is>
      </c>
      <c r="G1" s="58" t="inlineStr">
        <is>
          <t>PUNKTE SPIELER 2</t>
        </is>
      </c>
      <c r="H1" s="58" t="inlineStr">
        <is>
          <t>AUFNAHMEN SPIELER 1</t>
        </is>
      </c>
      <c r="I1" s="58" t="inlineStr">
        <is>
          <t>AUFNAHMEN SPIELER 2</t>
        </is>
      </c>
      <c r="J1" s="58" t="inlineStr">
        <is>
          <t>HÖCHSTSERIE SPIELER 1</t>
        </is>
      </c>
      <c r="K1" s="58" t="inlineStr">
        <is>
          <t>HÖCHSTSERIE SPIELER 2</t>
        </is>
      </c>
      <c r="L1" s="58" t="inlineStr">
        <is>
          <t>DATUM</t>
        </is>
      </c>
      <c r="M1" s="58" t="inlineStr">
        <is>
          <t>UHRZEIT</t>
        </is>
      </c>
    </row>
    <row r="2" ht="18" customHeight="1">
      <c r="A2" s="55" t="inlineStr">
        <is>
          <t>Gruppe A</t>
        </is>
      </c>
      <c r="B2" s="55" t="n">
        <v>1</v>
      </c>
      <c r="C2" s="55" t="n">
        <v>1</v>
      </c>
      <c r="D2" s="55">
        <f>IF(Teilnehmer!C2="","",Teilnehmer!C2)</f>
        <v/>
      </c>
      <c r="E2" s="55">
        <f>IF(Teilnehmer!C3="","",Teilnehmer!C3)</f>
        <v/>
      </c>
      <c r="F2" s="55">
        <f>IF(Tableau!D4="","",Tableau!D4)</f>
        <v/>
      </c>
      <c r="G2" s="55">
        <f>IF(Tableau!B7="","",Tableau!B7)</f>
        <v/>
      </c>
      <c r="H2" s="55">
        <f>IF(Tableau!E4="","",Tableau!E4)</f>
        <v/>
      </c>
      <c r="I2" s="55">
        <f>IF(Tableau!C7="","",Tableau!C7)</f>
        <v/>
      </c>
      <c r="J2" s="55">
        <f>IF(Tableau!E6="","",Tableau!E6)</f>
        <v/>
      </c>
      <c r="K2" s="55">
        <f>IF(Tableau!C9="","",Tableau!C9)</f>
        <v/>
      </c>
      <c r="L2" s="55">
        <f>Tableau!S2</f>
        <v/>
      </c>
      <c r="M2" s="55" t="inlineStr"/>
    </row>
    <row r="3" ht="18" customHeight="1">
      <c r="A3" s="55" t="inlineStr">
        <is>
          <t>Gruppe A</t>
        </is>
      </c>
      <c r="B3" s="55" t="n">
        <v>2</v>
      </c>
      <c r="C3" s="55" t="n">
        <v>1</v>
      </c>
      <c r="D3" s="55">
        <f>IF(Teilnehmer!C2="","",Teilnehmer!C2)</f>
        <v/>
      </c>
      <c r="E3" s="55">
        <f>IF(Teilnehmer!C4="","",Teilnehmer!C4)</f>
        <v/>
      </c>
      <c r="F3" s="55">
        <f>IF(Tableau!F4="","",Tableau!F4)</f>
        <v/>
      </c>
      <c r="G3" s="55">
        <f>IF(Tableau!B10="","",Tableau!B10)</f>
        <v/>
      </c>
      <c r="H3" s="55">
        <f>IF(Tableau!G4="","",Tableau!G4)</f>
        <v/>
      </c>
      <c r="I3" s="55">
        <f>IF(Tableau!C10="","",Tableau!C10)</f>
        <v/>
      </c>
      <c r="J3" s="55">
        <f>IF(Tableau!G6="","",Tableau!G6)</f>
        <v/>
      </c>
      <c r="K3" s="55">
        <f>IF(Tableau!C12="","",Tableau!C12)</f>
        <v/>
      </c>
      <c r="L3" s="55">
        <f>Tableau!S2</f>
        <v/>
      </c>
      <c r="M3" s="55" t="inlineStr"/>
    </row>
    <row r="4" ht="18" customHeight="1">
      <c r="A4" s="55" t="inlineStr">
        <is>
          <t>Gruppe A</t>
        </is>
      </c>
      <c r="B4" s="55" t="n">
        <v>3</v>
      </c>
      <c r="C4" s="55" t="n">
        <v>1</v>
      </c>
      <c r="D4" s="55">
        <f>IF(Teilnehmer!C2="","",Teilnehmer!C2)</f>
        <v/>
      </c>
      <c r="E4" s="55">
        <f>IF(Teilnehmer!C5="","",Teilnehmer!C5)</f>
        <v/>
      </c>
      <c r="F4" s="55">
        <f>IF(Tableau!H4="","",Tableau!H4)</f>
        <v/>
      </c>
      <c r="G4" s="55">
        <f>IF(Tableau!B13="","",Tableau!B13)</f>
        <v/>
      </c>
      <c r="H4" s="55">
        <f>IF(Tableau!I4="","",Tableau!I4)</f>
        <v/>
      </c>
      <c r="I4" s="55">
        <f>IF(Tableau!C13="","",Tableau!C13)</f>
        <v/>
      </c>
      <c r="J4" s="55">
        <f>IF(Tableau!I6="","",Tableau!I6)</f>
        <v/>
      </c>
      <c r="K4" s="55">
        <f>IF(Tableau!C15="","",Tableau!C15)</f>
        <v/>
      </c>
      <c r="L4" s="55">
        <f>Tableau!S2</f>
        <v/>
      </c>
      <c r="M4" s="55" t="inlineStr"/>
    </row>
    <row r="5" ht="18" customHeight="1">
      <c r="A5" s="55" t="inlineStr">
        <is>
          <t>Gruppe A</t>
        </is>
      </c>
      <c r="B5" s="55" t="n">
        <v>4</v>
      </c>
      <c r="C5" s="55" t="n">
        <v>1</v>
      </c>
      <c r="D5" s="55">
        <f>IF(Teilnehmer!C3="","",Teilnehmer!C3)</f>
        <v/>
      </c>
      <c r="E5" s="55">
        <f>IF(Teilnehmer!C4="","",Teilnehmer!C4)</f>
        <v/>
      </c>
      <c r="F5" s="55">
        <f>IF(Tableau!F7="","",Tableau!F7)</f>
        <v/>
      </c>
      <c r="G5" s="55">
        <f>IF(Tableau!D10="","",Tableau!D10)</f>
        <v/>
      </c>
      <c r="H5" s="55">
        <f>IF(Tableau!G7="","",Tableau!G7)</f>
        <v/>
      </c>
      <c r="I5" s="55">
        <f>IF(Tableau!E10="","",Tableau!E10)</f>
        <v/>
      </c>
      <c r="J5" s="55">
        <f>IF(Tableau!G9="","",Tableau!G9)</f>
        <v/>
      </c>
      <c r="K5" s="55">
        <f>IF(Tableau!E12="","",Tableau!E12)</f>
        <v/>
      </c>
      <c r="L5" s="55">
        <f>Tableau!S2</f>
        <v/>
      </c>
      <c r="M5" s="55" t="inlineStr"/>
    </row>
    <row r="6" ht="18" customHeight="1">
      <c r="A6" s="55" t="inlineStr">
        <is>
          <t>Gruppe A</t>
        </is>
      </c>
      <c r="B6" s="55" t="n">
        <v>5</v>
      </c>
      <c r="C6" s="55" t="n">
        <v>1</v>
      </c>
      <c r="D6" s="55">
        <f>IF(Teilnehmer!C3="","",Teilnehmer!C3)</f>
        <v/>
      </c>
      <c r="E6" s="55">
        <f>IF(Teilnehmer!C5="","",Teilnehmer!C5)</f>
        <v/>
      </c>
      <c r="F6" s="55">
        <f>IF(Tableau!H7="","",Tableau!H7)</f>
        <v/>
      </c>
      <c r="G6" s="55">
        <f>IF(Tableau!D13="","",Tableau!D13)</f>
        <v/>
      </c>
      <c r="H6" s="55">
        <f>IF(Tableau!I7="","",Tableau!I7)</f>
        <v/>
      </c>
      <c r="I6" s="55">
        <f>IF(Tableau!E13="","",Tableau!E13)</f>
        <v/>
      </c>
      <c r="J6" s="55">
        <f>IF(Tableau!I9="","",Tableau!I9)</f>
        <v/>
      </c>
      <c r="K6" s="55">
        <f>IF(Tableau!E15="","",Tableau!E15)</f>
        <v/>
      </c>
      <c r="L6" s="55">
        <f>Tableau!S2</f>
        <v/>
      </c>
      <c r="M6" s="55" t="inlineStr"/>
    </row>
    <row r="7" ht="18" customHeight="1">
      <c r="A7" s="55" t="inlineStr">
        <is>
          <t>Gruppe A</t>
        </is>
      </c>
      <c r="B7" s="55" t="n">
        <v>6</v>
      </c>
      <c r="C7" s="55" t="n">
        <v>1</v>
      </c>
      <c r="D7" s="55">
        <f>IF(Teilnehmer!C4="","",Teilnehmer!C4)</f>
        <v/>
      </c>
      <c r="E7" s="55">
        <f>IF(Teilnehmer!C5="","",Teilnehmer!C5)</f>
        <v/>
      </c>
      <c r="F7" s="55">
        <f>IF(Tableau!H10="","",Tableau!H10)</f>
        <v/>
      </c>
      <c r="G7" s="55">
        <f>IF(Tableau!F13="","",Tableau!F13)</f>
        <v/>
      </c>
      <c r="H7" s="55">
        <f>IF(Tableau!I10="","",Tableau!I10)</f>
        <v/>
      </c>
      <c r="I7" s="55">
        <f>IF(Tableau!G13="","",Tableau!G13)</f>
        <v/>
      </c>
      <c r="J7" s="55">
        <f>IF(Tableau!I12="","",Tableau!I12)</f>
        <v/>
      </c>
      <c r="K7" s="55">
        <f>IF(Tableau!G15="","",Tableau!G15)</f>
        <v/>
      </c>
      <c r="L7" s="55">
        <f>Tableau!S2</f>
        <v/>
      </c>
      <c r="M7" s="55" t="inlineStr"/>
    </row>
    <row r="9">
      <c r="A9" s="57" t="inlineStr">
        <is>
          <t>Hinweis: Dieses Blatt als CSV speichern. Falls ClubCloud den Import ablehnt, CSV ohne UTF-8-BOM speichern.</t>
        </is>
      </c>
    </row>
  </sheetData>
  <mergeCells count="1">
    <mergeCell ref="A9:M9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MartinWitt</dc:creator>
  <dc:title xmlns:dc="http://purl.org/dc/elements/1.1/">6er Endrunde</dc:title>
  <dc:subject xmlns:dc="http://purl.org/dc/elements/1.1/">Tableau &amp; Ansetzung</dc:subject>
  <dcterms:created xmlns:dcterms="http://purl.org/dc/terms/" xmlns:xsi="http://www.w3.org/2001/XMLSchema-instance" xsi:type="dcterms:W3CDTF">1999-09-29T12:14:55Z</dcterms:created>
  <dcterms:modified xmlns:dcterms="http://purl.org/dc/terms/" xmlns:xsi="http://www.w3.org/2001/XMLSchema-instance" xsi:type="dcterms:W3CDTF">2026-08-16T10:52:10Z</dcterms:modified>
  <cp:lastModifiedBy>Hans Benkert</cp:lastModifiedBy>
  <cp:revision>0</cp:revision>
  <cp:lastPrinted>2008-02-17T10:52:47Z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i4 xmlns:vt="http://schemas.openxmlformats.org/officeDocument/2006/docPropsVTypes">-973240657</vt:i4>
  </property>
  <property name="_AuthorEmail" fmtid="{D5CDD505-2E9C-101B-9397-08002B2CF9AE}" pid="3">
    <vt:lpwstr xmlns:vt="http://schemas.openxmlformats.org/officeDocument/2006/docPropsVTypes">nbv-sportwart@billard-hamburg.de</vt:lpwstr>
  </property>
  <property name="_AuthorEmailDisplayName" fmtid="{D5CDD505-2E9C-101B-9397-08002B2CF9AE}" pid="4">
    <vt:lpwstr xmlns:vt="http://schemas.openxmlformats.org/officeDocument/2006/docPropsVTypes">NBV Sportwart</vt:lpwstr>
  </property>
  <property name="_EmailSubject" fmtid="{D5CDD505-2E9C-101B-9397-08002B2CF9AE}" pid="5">
    <vt:lpwstr xmlns:vt="http://schemas.openxmlformats.org/officeDocument/2006/docPropsVTypes">Turnierprotokolle für Meisterschaften</vt:lpwstr>
  </property>
  <property name="_ReviewingToolsShownOnce" fmtid="{D5CDD505-2E9C-101B-9397-08002B2CF9AE}" pid="6">
    <vt:lpwstr xmlns:vt="http://schemas.openxmlformats.org/officeDocument/2006/docPropsVTypes"/>
  </property>
</Properties>
</file>