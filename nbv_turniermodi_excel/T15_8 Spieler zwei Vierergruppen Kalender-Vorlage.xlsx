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68" firstSheet="0" activeTab="0" autoFilterDateGrouping="1"/>
  </bookViews>
  <sheets>
    <sheet xmlns:r="http://schemas.openxmlformats.org/officeDocument/2006/relationships" name="Tableau" sheetId="1" state="visible" r:id="rId1"/>
    <sheet xmlns:r="http://schemas.openxmlformats.org/officeDocument/2006/relationships" name="Teilnehmer" sheetId="2" state="visible" r:id="rId2"/>
    <sheet xmlns:r="http://schemas.openxmlformats.org/officeDocument/2006/relationships" name="CSV Export" sheetId="3" state="visible" r:id="rId3"/>
  </sheets>
  <definedNames>
    <definedName name="_xlnm.Print_Area" localSheetId="0">'Tableau'!$A$1:$M$40</definedName>
    <definedName name="_xlnm.Print_Area" localSheetId="1">'Teilnehmer'!$A$1:$F$11</definedName>
    <definedName name="_xlnm.Print_Area" localSheetId="2">'CSV Export'!$A$1:$M$21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dd.mm.yyyy"/>
  </numFmts>
  <fonts count="11">
    <font>
      <name val="Arial"/>
      <family val="2"/>
      <sz val="10"/>
    </font>
    <font>
      <name val="Arial"/>
      <family val="2"/>
      <color indexed="12"/>
      <sz val="10"/>
      <u val="single"/>
    </font>
    <font>
      <name val="Arial"/>
      <family val="2"/>
      <b val="1"/>
      <sz val="10"/>
    </font>
    <font>
      <name val="Bookman Old Style"/>
      <family val="1"/>
      <b val="1"/>
      <sz val="20"/>
      <u val="single"/>
    </font>
    <font>
      <name val="Times New Roman"/>
      <family val="1"/>
      <b val="1"/>
      <sz val="20"/>
      <u val="single"/>
    </font>
    <font>
      <name val="Arial"/>
      <family val="2"/>
      <b val="1"/>
      <sz val="9"/>
    </font>
    <font>
      <name val="Arial"/>
      <family val="2"/>
      <b val="1"/>
      <color indexed="9"/>
      <sz val="10"/>
    </font>
    <font>
      <name val="Arial"/>
      <family val="2"/>
      <color indexed="9"/>
      <sz val="10"/>
    </font>
    <font>
      <name val="Arial"/>
      <family val="2"/>
      <b val="1"/>
      <sz val="20"/>
    </font>
    <font>
      <b val="1"/>
      <color rgb="00FFFFFF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2937"/>
      </patternFill>
    </fill>
    <fill>
      <patternFill patternType="solid">
        <fgColor rgb="00E2F0D9"/>
      </patternFill>
    </fill>
  </fills>
  <borders count="2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justify" vertic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0" borderId="6" applyAlignment="1" applyProtection="1" pivotButton="0" quotePrefix="0" xfId="0">
      <alignment horizontal="center" vertical="center"/>
      <protection locked="0" hidden="0"/>
    </xf>
    <xf numFmtId="164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2" borderId="9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164" fontId="0" fillId="0" borderId="11" applyAlignment="1" applyProtection="1" pivotButton="0" quotePrefix="0" xfId="0">
      <alignment horizontal="center" vertical="center"/>
      <protection locked="0" hidden="0"/>
    </xf>
    <xf numFmtId="2" fontId="0" fillId="0" borderId="9" applyAlignment="1" applyProtection="1" pivotButton="0" quotePrefix="0" xfId="0">
      <alignment horizontal="center" vertical="center"/>
      <protection locked="0" hidden="0"/>
    </xf>
    <xf numFmtId="2" fontId="0" fillId="0" borderId="11" applyAlignment="1" applyProtection="1" pivotButton="0" quotePrefix="0" xfId="0">
      <alignment horizontal="center" vertical="center"/>
      <protection locked="0" hidden="0"/>
    </xf>
    <xf numFmtId="164" fontId="0" fillId="0" borderId="8" applyAlignment="1" pivotButton="0" quotePrefix="0" xfId="0">
      <alignment horizontal="center" vertical="center"/>
    </xf>
    <xf numFmtId="0" fontId="7" fillId="0" borderId="0" pivotButton="0" quotePrefix="0" xfId="0"/>
    <xf numFmtId="2" fontId="0" fillId="0" borderId="12" applyAlignment="1" applyProtection="1" pivotButton="0" quotePrefix="0" xfId="0">
      <alignment horizontal="center" vertical="center"/>
      <protection locked="0" hidden="0"/>
    </xf>
    <xf numFmtId="0" fontId="0" fillId="3" borderId="13" applyAlignment="1" applyProtection="1" pivotButton="0" quotePrefix="0" xfId="0">
      <alignment horizontal="center" vertical="center"/>
      <protection locked="0" hidden="0"/>
    </xf>
    <xf numFmtId="0" fontId="0" fillId="3" borderId="14" applyAlignment="1" applyProtection="1" pivotButton="0" quotePrefix="0" xfId="0">
      <alignment horizontal="center" vertical="center"/>
      <protection locked="0" hidden="0"/>
    </xf>
    <xf numFmtId="0" fontId="0" fillId="3" borderId="4" applyAlignment="1" applyProtection="1" pivotButton="0" quotePrefix="0" xfId="0">
      <alignment horizontal="center" vertical="center"/>
      <protection locked="0" hidden="0"/>
    </xf>
    <xf numFmtId="0" fontId="0" fillId="3" borderId="6" applyAlignment="1" applyProtection="1" pivotButton="0" quotePrefix="0" xfId="0">
      <alignment horizontal="center" vertical="center"/>
      <protection locked="0" hidden="0"/>
    </xf>
    <xf numFmtId="0" fontId="0" fillId="4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applyProtection="1" pivotButton="0" quotePrefix="0" xfId="0">
      <alignment horizontal="right" vertical="top"/>
      <protection locked="0" hidden="0"/>
    </xf>
    <xf numFmtId="0" fontId="8" fillId="3" borderId="0" pivotButton="0" quotePrefix="0" xfId="0"/>
    <xf numFmtId="0" fontId="0" fillId="3" borderId="0" pivotButton="0" quotePrefix="0" xfId="0"/>
    <xf numFmtId="0" fontId="2" fillId="0" borderId="15" applyAlignment="1" applyProtection="1" pivotButton="0" quotePrefix="0" xfId="0">
      <alignment horizontal="center" vertical="center"/>
      <protection locked="0" hidden="0"/>
    </xf>
    <xf numFmtId="0" fontId="0" fillId="2" borderId="15" applyAlignment="1" pivotButton="0" quotePrefix="0" xfId="0">
      <alignment horizontal="center" vertical="center"/>
    </xf>
    <xf numFmtId="0" fontId="2" fillId="3" borderId="0" applyAlignment="1" applyProtection="1" pivotButton="0" quotePrefix="0" xfId="0">
      <alignment horizontal="center" vertical="center"/>
      <protection locked="0" hidden="0"/>
    </xf>
    <xf numFmtId="0" fontId="4" fillId="0" borderId="17" applyAlignment="1" pivotButton="0" quotePrefix="0" xfId="0">
      <alignment horizontal="center" vertical="top"/>
    </xf>
    <xf numFmtId="14" fontId="2" fillId="0" borderId="17" applyAlignment="1" pivotButton="0" quotePrefix="0" xfId="0">
      <alignment horizontal="center" vertical="top"/>
    </xf>
    <xf numFmtId="0" fontId="4" fillId="3" borderId="16" applyAlignment="1" applyProtection="1" pivotButton="0" quotePrefix="0" xfId="0">
      <alignment horizontal="center"/>
      <protection locked="0" hidden="0"/>
    </xf>
    <xf numFmtId="0" fontId="2" fillId="3" borderId="2" applyAlignment="1" applyProtection="1" pivotButton="0" quotePrefix="0" xfId="0">
      <alignment horizontal="center" vertical="center"/>
      <protection locked="0" hidden="0"/>
    </xf>
    <xf numFmtId="0" fontId="0" fillId="2" borderId="5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pivotButton="0" quotePrefix="0" xfId="0"/>
    <xf numFmtId="0" fontId="0" fillId="0" borderId="22" applyProtection="1" pivotButton="0" quotePrefix="0" xfId="0">
      <protection locked="0" hidden="0"/>
    </xf>
    <xf numFmtId="0" fontId="0" fillId="0" borderId="20" pivotButton="0" quotePrefix="0" xfId="0"/>
    <xf numFmtId="0" fontId="0" fillId="0" borderId="20" applyProtection="1" pivotButton="0" quotePrefix="0" xfId="0">
      <protection locked="0" hidden="0"/>
    </xf>
    <xf numFmtId="0" fontId="9" fillId="5" borderId="0" applyAlignment="1" pivotButton="0" quotePrefix="0" xfId="0">
      <alignment horizontal="center"/>
    </xf>
    <xf numFmtId="0" fontId="0" fillId="0" borderId="23" applyAlignment="1" pivotButton="0" quotePrefix="0" xfId="0">
      <alignment vertical="center"/>
    </xf>
    <xf numFmtId="0" fontId="0" fillId="6" borderId="23" applyAlignment="1" pivotButton="0" quotePrefix="0" xfId="0">
      <alignment vertical="center"/>
    </xf>
    <xf numFmtId="0" fontId="10" fillId="0" borderId="0" pivotButton="0" quotePrefix="0" xfId="0"/>
    <xf numFmtId="0" fontId="9" fillId="5" borderId="23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6" borderId="23" applyAlignment="1" pivotButton="0" quotePrefix="0" xfId="0">
      <alignment horizontal="left" vertical="center" wrapText="1"/>
    </xf>
    <xf numFmtId="0" fontId="0" fillId="6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165" fontId="2" fillId="3" borderId="0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left" vertical="center" wrapText="1"/>
    </xf>
    <xf numFmtId="0" fontId="0" fillId="2" borderId="4" applyAlignment="1" pivotButton="0" quotePrefix="0" xfId="0">
      <alignment horizontal="center" vertical="center" wrapText="1"/>
    </xf>
    <xf numFmtId="1" fontId="0" fillId="3" borderId="13" applyAlignment="1" applyProtection="1" pivotButton="0" quotePrefix="0" xfId="0">
      <alignment horizontal="center" vertical="center" wrapText="1"/>
      <protection locked="0" hidden="0"/>
    </xf>
    <xf numFmtId="0" fontId="0" fillId="0" borderId="28" pivotButton="0" quotePrefix="0" xfId="0"/>
    <xf numFmtId="0" fontId="0" fillId="3" borderId="13" applyAlignment="1" applyProtection="1" pivotButton="0" quotePrefix="0" xfId="0">
      <alignment horizontal="left" vertical="center" wrapText="1"/>
      <protection locked="0" hidden="0"/>
    </xf>
    <xf numFmtId="0" fontId="0" fillId="3" borderId="13" applyAlignment="1" applyProtection="1" pivotButton="0" quotePrefix="0" xfId="0">
      <alignment horizontal="center" vertical="center" wrapText="1"/>
      <protection locked="0" hidden="0"/>
    </xf>
    <xf numFmtId="0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 wrapText="1"/>
    </xf>
    <xf numFmtId="1" fontId="0" fillId="0" borderId="7" applyAlignment="1" pivotButton="0" quotePrefix="0" xfId="0">
      <alignment horizontal="center" vertical="center" wrapText="1"/>
    </xf>
    <xf numFmtId="164" fontId="0" fillId="0" borderId="7" applyAlignment="1" pivotButton="0" quotePrefix="0" xfId="0">
      <alignment horizontal="center" vertical="center" wrapText="1"/>
    </xf>
  </cellXfs>
  <cellStyles count="2">
    <cellStyle name="Standard" xfId="0" builtinId="0"/>
    <cellStyle name="Hyperlink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23" customWidth="1" min="4" max="4"/>
    <col width="23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9" customWidth="1" min="13" max="13"/>
  </cols>
  <sheetData>
    <row r="1">
      <c r="A1" s="2" t="inlineStr">
        <is>
          <t>2=gewonnen     1=unentschieden</t>
        </is>
      </c>
      <c r="B1" s="2" t="n"/>
      <c r="C1" s="2" t="n"/>
      <c r="D1" s="45" t="inlineStr"/>
      <c r="E1" s="48" t="n"/>
      <c r="F1" s="48" t="n"/>
      <c r="G1" s="48" t="n"/>
      <c r="H1" s="48" t="n"/>
      <c r="I1" s="48" t="n"/>
      <c r="J1" s="49" t="n"/>
      <c r="K1" s="2" t="n"/>
      <c r="L1" s="35" t="inlineStr">
        <is>
          <t>Ausrichter :</t>
        </is>
      </c>
      <c r="M1" s="42" t="inlineStr">
        <is>
          <t>BGH</t>
        </is>
      </c>
    </row>
    <row r="2">
      <c r="A2" s="2" t="inlineStr">
        <is>
          <t>0=verloren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5" t="inlineStr">
        <is>
          <t>Datum :</t>
        </is>
      </c>
      <c r="M2" s="66">
        <f>TODAY()</f>
        <v/>
      </c>
    </row>
    <row r="4" ht="28" customHeight="1">
      <c r="A4" s="67" t="inlineStr">
        <is>
          <t>Gruppe/Runde</t>
        </is>
      </c>
      <c r="B4" s="67" t="inlineStr">
        <is>
          <t>Partie</t>
        </is>
      </c>
      <c r="C4" s="67" t="inlineStr">
        <is>
          <t>Tisch</t>
        </is>
      </c>
      <c r="D4" s="67" t="inlineStr">
        <is>
          <t>Spieler 1</t>
        </is>
      </c>
      <c r="E4" s="67" t="inlineStr">
        <is>
          <t>Spieler 2</t>
        </is>
      </c>
      <c r="F4" s="67" t="inlineStr">
        <is>
          <t>Pass 1</t>
        </is>
      </c>
      <c r="G4" s="67" t="inlineStr">
        <is>
          <t>Pass 2</t>
        </is>
      </c>
      <c r="H4" s="67" t="inlineStr">
        <is>
          <t>Punkte 1</t>
        </is>
      </c>
      <c r="I4" s="67" t="inlineStr">
        <is>
          <t>Punkte 2</t>
        </is>
      </c>
      <c r="J4" s="67" t="inlineStr">
        <is>
          <t>Aufn. 1</t>
        </is>
      </c>
      <c r="K4" s="67" t="inlineStr">
        <is>
          <t>Aufn. 2</t>
        </is>
      </c>
      <c r="L4" s="67" t="inlineStr">
        <is>
          <t>HS 1</t>
        </is>
      </c>
      <c r="M4" s="67" t="inlineStr">
        <is>
          <t>HS 2</t>
        </is>
      </c>
    </row>
    <row r="5" ht="24" customHeight="1">
      <c r="A5" s="68" t="inlineStr">
        <is>
          <t>Gruppe 1</t>
        </is>
      </c>
      <c r="B5" s="69" t="n">
        <v>1</v>
      </c>
      <c r="C5" s="69" t="n">
        <v>1</v>
      </c>
      <c r="D5" s="68">
        <f>IF('Teilnehmer'!B2="","",'Teilnehmer'!B2)</f>
        <v/>
      </c>
      <c r="E5" s="68">
        <f>IF('Teilnehmer'!B9="","",'Teilnehmer'!B9)</f>
        <v/>
      </c>
      <c r="F5" s="69">
        <f>IF('Teilnehmer'!C2="","",'Teilnehmer'!C2)</f>
        <v/>
      </c>
      <c r="G5" s="69">
        <f>IF('Teilnehmer'!C9="","",'Teilnehmer'!C9)</f>
        <v/>
      </c>
      <c r="H5" s="70" t="inlineStr"/>
      <c r="I5" s="70" t="inlineStr"/>
      <c r="J5" s="70" t="inlineStr"/>
      <c r="K5" s="70" t="inlineStr"/>
      <c r="L5" s="70" t="inlineStr"/>
      <c r="M5" s="70" t="inlineStr"/>
    </row>
    <row r="6" ht="24" customHeight="1">
      <c r="A6" s="68" t="inlineStr">
        <is>
          <t>Gruppe 1</t>
        </is>
      </c>
      <c r="B6" s="69" t="n">
        <v>2</v>
      </c>
      <c r="C6" s="69" t="n">
        <v>2</v>
      </c>
      <c r="D6" s="68">
        <f>IF('Teilnehmer'!B5="","",'Teilnehmer'!B5)</f>
        <v/>
      </c>
      <c r="E6" s="68">
        <f>IF('Teilnehmer'!B6="","",'Teilnehmer'!B6)</f>
        <v/>
      </c>
      <c r="F6" s="69">
        <f>IF('Teilnehmer'!C5="","",'Teilnehmer'!C5)</f>
        <v/>
      </c>
      <c r="G6" s="69">
        <f>IF('Teilnehmer'!C6="","",'Teilnehmer'!C6)</f>
        <v/>
      </c>
      <c r="H6" s="70" t="inlineStr"/>
      <c r="I6" s="70" t="inlineStr"/>
      <c r="J6" s="70" t="inlineStr"/>
      <c r="K6" s="70" t="inlineStr"/>
      <c r="L6" s="70" t="inlineStr"/>
      <c r="M6" s="70" t="inlineStr"/>
    </row>
    <row r="7" ht="24" customHeight="1">
      <c r="A7" s="68" t="inlineStr">
        <is>
          <t>Gruppe 2</t>
        </is>
      </c>
      <c r="B7" s="69" t="n">
        <v>3</v>
      </c>
      <c r="C7" s="69" t="n">
        <v>3</v>
      </c>
      <c r="D7" s="68">
        <f>IF('Teilnehmer'!B3="","",'Teilnehmer'!B3)</f>
        <v/>
      </c>
      <c r="E7" s="68">
        <f>IF('Teilnehmer'!B8="","",'Teilnehmer'!B8)</f>
        <v/>
      </c>
      <c r="F7" s="69">
        <f>IF('Teilnehmer'!C3="","",'Teilnehmer'!C3)</f>
        <v/>
      </c>
      <c r="G7" s="69">
        <f>IF('Teilnehmer'!C8="","",'Teilnehmer'!C8)</f>
        <v/>
      </c>
      <c r="H7" s="70" t="inlineStr"/>
      <c r="I7" s="70" t="inlineStr"/>
      <c r="J7" s="70" t="inlineStr"/>
      <c r="K7" s="70" t="inlineStr"/>
      <c r="L7" s="70" t="inlineStr"/>
      <c r="M7" s="70" t="inlineStr"/>
    </row>
    <row r="8" ht="24" customHeight="1">
      <c r="A8" s="68" t="inlineStr">
        <is>
          <t>Gruppe 2</t>
        </is>
      </c>
      <c r="B8" s="69" t="n">
        <v>4</v>
      </c>
      <c r="C8" s="69" t="n">
        <v>4</v>
      </c>
      <c r="D8" s="68">
        <f>IF('Teilnehmer'!B4="","",'Teilnehmer'!B4)</f>
        <v/>
      </c>
      <c r="E8" s="68">
        <f>IF('Teilnehmer'!B7="","",'Teilnehmer'!B7)</f>
        <v/>
      </c>
      <c r="F8" s="69">
        <f>IF('Teilnehmer'!C4="","",'Teilnehmer'!C4)</f>
        <v/>
      </c>
      <c r="G8" s="69">
        <f>IF('Teilnehmer'!C7="","",'Teilnehmer'!C7)</f>
        <v/>
      </c>
      <c r="H8" s="70" t="inlineStr"/>
      <c r="I8" s="70" t="inlineStr"/>
      <c r="J8" s="70" t="inlineStr"/>
      <c r="K8" s="70" t="inlineStr"/>
      <c r="L8" s="70" t="inlineStr"/>
      <c r="M8" s="70" t="inlineStr"/>
    </row>
    <row r="9" ht="24" customHeight="1">
      <c r="A9" s="68" t="inlineStr">
        <is>
          <t>Gruppe 1</t>
        </is>
      </c>
      <c r="B9" s="69" t="n">
        <v>5</v>
      </c>
      <c r="C9" s="69" t="n">
        <v>1</v>
      </c>
      <c r="D9" s="68">
        <f>IF('Teilnehmer'!B2="","",'Teilnehmer'!B2)</f>
        <v/>
      </c>
      <c r="E9" s="68">
        <f>IF('Teilnehmer'!B6="","",'Teilnehmer'!B6)</f>
        <v/>
      </c>
      <c r="F9" s="69">
        <f>IF('Teilnehmer'!C2="","",'Teilnehmer'!C2)</f>
        <v/>
      </c>
      <c r="G9" s="69">
        <f>IF('Teilnehmer'!C6="","",'Teilnehmer'!C6)</f>
        <v/>
      </c>
      <c r="H9" s="70" t="inlineStr"/>
      <c r="I9" s="70" t="inlineStr"/>
      <c r="J9" s="70" t="inlineStr"/>
      <c r="K9" s="70" t="inlineStr"/>
      <c r="L9" s="70" t="inlineStr"/>
      <c r="M9" s="70" t="inlineStr"/>
    </row>
    <row r="10" ht="24" customHeight="1">
      <c r="A10" s="68" t="inlineStr">
        <is>
          <t>Gruppe 1</t>
        </is>
      </c>
      <c r="B10" s="69" t="n">
        <v>6</v>
      </c>
      <c r="C10" s="69" t="n">
        <v>2</v>
      </c>
      <c r="D10" s="68">
        <f>IF('Teilnehmer'!B5="","",'Teilnehmer'!B5)</f>
        <v/>
      </c>
      <c r="E10" s="68">
        <f>IF('Teilnehmer'!B9="","",'Teilnehmer'!B9)</f>
        <v/>
      </c>
      <c r="F10" s="69">
        <f>IF('Teilnehmer'!C5="","",'Teilnehmer'!C5)</f>
        <v/>
      </c>
      <c r="G10" s="69">
        <f>IF('Teilnehmer'!C9="","",'Teilnehmer'!C9)</f>
        <v/>
      </c>
      <c r="H10" s="70" t="inlineStr"/>
      <c r="I10" s="70" t="inlineStr"/>
      <c r="J10" s="70" t="inlineStr"/>
      <c r="K10" s="70" t="inlineStr"/>
      <c r="L10" s="70" t="inlineStr"/>
      <c r="M10" s="70" t="inlineStr"/>
    </row>
    <row r="11" ht="24" customHeight="1">
      <c r="A11" s="68" t="inlineStr">
        <is>
          <t>Gruppe 2</t>
        </is>
      </c>
      <c r="B11" s="69" t="n">
        <v>7</v>
      </c>
      <c r="C11" s="69" t="n">
        <v>3</v>
      </c>
      <c r="D11" s="68">
        <f>IF('Teilnehmer'!B3="","",'Teilnehmer'!B3)</f>
        <v/>
      </c>
      <c r="E11" s="68">
        <f>IF('Teilnehmer'!B7="","",'Teilnehmer'!B7)</f>
        <v/>
      </c>
      <c r="F11" s="69">
        <f>IF('Teilnehmer'!C3="","",'Teilnehmer'!C3)</f>
        <v/>
      </c>
      <c r="G11" s="69">
        <f>IF('Teilnehmer'!C7="","",'Teilnehmer'!C7)</f>
        <v/>
      </c>
      <c r="H11" s="70" t="inlineStr"/>
      <c r="I11" s="70" t="inlineStr"/>
      <c r="J11" s="70" t="inlineStr"/>
      <c r="K11" s="70" t="inlineStr"/>
      <c r="L11" s="70" t="inlineStr"/>
      <c r="M11" s="70" t="inlineStr"/>
    </row>
    <row r="12" ht="24" customHeight="1">
      <c r="A12" s="68" t="inlineStr">
        <is>
          <t>Gruppe 2</t>
        </is>
      </c>
      <c r="B12" s="69" t="n">
        <v>8</v>
      </c>
      <c r="C12" s="69" t="n">
        <v>4</v>
      </c>
      <c r="D12" s="68">
        <f>IF('Teilnehmer'!B4="","",'Teilnehmer'!B4)</f>
        <v/>
      </c>
      <c r="E12" s="68">
        <f>IF('Teilnehmer'!B8="","",'Teilnehmer'!B8)</f>
        <v/>
      </c>
      <c r="F12" s="69">
        <f>IF('Teilnehmer'!C4="","",'Teilnehmer'!C4)</f>
        <v/>
      </c>
      <c r="G12" s="69">
        <f>IF('Teilnehmer'!C8="","",'Teilnehmer'!C8)</f>
        <v/>
      </c>
      <c r="H12" s="70" t="inlineStr"/>
      <c r="I12" s="70" t="inlineStr"/>
      <c r="J12" s="70" t="inlineStr"/>
      <c r="K12" s="70" t="inlineStr"/>
      <c r="L12" s="70" t="inlineStr"/>
      <c r="M12" s="70" t="inlineStr"/>
    </row>
    <row r="13" ht="24" customHeight="1">
      <c r="A13" s="68" t="inlineStr">
        <is>
          <t>Gruppe 1</t>
        </is>
      </c>
      <c r="B13" s="69" t="n">
        <v>9</v>
      </c>
      <c r="C13" s="69" t="n">
        <v>1</v>
      </c>
      <c r="D13" s="68">
        <f>IF('Teilnehmer'!B2="","",'Teilnehmer'!B2)</f>
        <v/>
      </c>
      <c r="E13" s="68">
        <f>IF('Teilnehmer'!B5="","",'Teilnehmer'!B5)</f>
        <v/>
      </c>
      <c r="F13" s="69">
        <f>IF('Teilnehmer'!C2="","",'Teilnehmer'!C2)</f>
        <v/>
      </c>
      <c r="G13" s="69">
        <f>IF('Teilnehmer'!C5="","",'Teilnehmer'!C5)</f>
        <v/>
      </c>
      <c r="H13" s="70" t="inlineStr"/>
      <c r="I13" s="70" t="inlineStr"/>
      <c r="J13" s="70" t="inlineStr"/>
      <c r="K13" s="70" t="inlineStr"/>
      <c r="L13" s="70" t="inlineStr"/>
      <c r="M13" s="70" t="inlineStr"/>
    </row>
    <row r="14" ht="24" customHeight="1">
      <c r="A14" s="68" t="inlineStr">
        <is>
          <t>Gruppe 1</t>
        </is>
      </c>
      <c r="B14" s="69" t="n">
        <v>10</v>
      </c>
      <c r="C14" s="69" t="n">
        <v>2</v>
      </c>
      <c r="D14" s="68">
        <f>IF('Teilnehmer'!B6="","",'Teilnehmer'!B6)</f>
        <v/>
      </c>
      <c r="E14" s="68">
        <f>IF('Teilnehmer'!B9="","",'Teilnehmer'!B9)</f>
        <v/>
      </c>
      <c r="F14" s="69">
        <f>IF('Teilnehmer'!C6="","",'Teilnehmer'!C6)</f>
        <v/>
      </c>
      <c r="G14" s="69">
        <f>IF('Teilnehmer'!C9="","",'Teilnehmer'!C9)</f>
        <v/>
      </c>
      <c r="H14" s="70" t="inlineStr"/>
      <c r="I14" s="70" t="inlineStr"/>
      <c r="J14" s="70" t="inlineStr"/>
      <c r="K14" s="70" t="inlineStr"/>
      <c r="L14" s="70" t="inlineStr"/>
      <c r="M14" s="70" t="inlineStr"/>
    </row>
    <row r="15" ht="24" customHeight="1">
      <c r="A15" s="68" t="inlineStr">
        <is>
          <t>Gruppe 2</t>
        </is>
      </c>
      <c r="B15" s="69" t="n">
        <v>11</v>
      </c>
      <c r="C15" s="69" t="n">
        <v>3</v>
      </c>
      <c r="D15" s="68">
        <f>IF('Teilnehmer'!B3="","",'Teilnehmer'!B3)</f>
        <v/>
      </c>
      <c r="E15" s="68">
        <f>IF('Teilnehmer'!B4="","",'Teilnehmer'!B4)</f>
        <v/>
      </c>
      <c r="F15" s="69">
        <f>IF('Teilnehmer'!C3="","",'Teilnehmer'!C3)</f>
        <v/>
      </c>
      <c r="G15" s="69">
        <f>IF('Teilnehmer'!C4="","",'Teilnehmer'!C4)</f>
        <v/>
      </c>
      <c r="H15" s="70" t="inlineStr"/>
      <c r="I15" s="70" t="inlineStr"/>
      <c r="J15" s="70" t="inlineStr"/>
      <c r="K15" s="70" t="inlineStr"/>
      <c r="L15" s="70" t="inlineStr"/>
      <c r="M15" s="70" t="inlineStr"/>
    </row>
    <row r="16" ht="24" customHeight="1">
      <c r="A16" s="68" t="inlineStr">
        <is>
          <t>Gruppe 2</t>
        </is>
      </c>
      <c r="B16" s="69" t="n">
        <v>12</v>
      </c>
      <c r="C16" s="69" t="n">
        <v>4</v>
      </c>
      <c r="D16" s="68">
        <f>IF('Teilnehmer'!B7="","",'Teilnehmer'!B7)</f>
        <v/>
      </c>
      <c r="E16" s="68">
        <f>IF('Teilnehmer'!B8="","",'Teilnehmer'!B8)</f>
        <v/>
      </c>
      <c r="F16" s="69">
        <f>IF('Teilnehmer'!C7="","",'Teilnehmer'!C7)</f>
        <v/>
      </c>
      <c r="G16" s="69">
        <f>IF('Teilnehmer'!C8="","",'Teilnehmer'!C8)</f>
        <v/>
      </c>
      <c r="H16" s="70" t="inlineStr"/>
      <c r="I16" s="70" t="inlineStr"/>
      <c r="J16" s="70" t="inlineStr"/>
      <c r="K16" s="70" t="inlineStr"/>
      <c r="L16" s="70" t="inlineStr"/>
      <c r="M16" s="70" t="inlineStr"/>
    </row>
    <row r="17" ht="24" customHeight="1">
      <c r="A17" s="5" t="inlineStr">
        <is>
          <t>Final- und Platzierungsspiele</t>
        </is>
      </c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9" ht="24" customHeight="1">
      <c r="A19" s="68" t="inlineStr">
        <is>
          <t>Halbfinale 1 über Kreuz</t>
        </is>
      </c>
      <c r="B19" s="69" t="n">
        <v>13</v>
      </c>
      <c r="C19" s="69" t="n">
        <v>1</v>
      </c>
      <c r="D19" s="72" t="n"/>
      <c r="E19" s="72" t="n"/>
      <c r="F19" s="73" t="n"/>
      <c r="G19" s="73" t="n"/>
      <c r="H19" s="70" t="n"/>
      <c r="I19" s="70" t="n"/>
      <c r="J19" s="70" t="n"/>
      <c r="K19" s="70" t="n"/>
      <c r="L19" s="70" t="n"/>
      <c r="M19" s="70" t="n"/>
    </row>
    <row r="20" ht="24" customHeight="1">
      <c r="A20" s="68" t="inlineStr">
        <is>
          <t>Halbfinale 2 über Kreuz</t>
        </is>
      </c>
      <c r="B20" s="69" t="n">
        <v>14</v>
      </c>
      <c r="C20" s="69" t="n">
        <v>2</v>
      </c>
      <c r="D20" s="72" t="n"/>
      <c r="E20" s="72" t="n"/>
      <c r="F20" s="73" t="n"/>
      <c r="G20" s="73" t="n"/>
      <c r="H20" s="70" t="n"/>
      <c r="I20" s="70" t="n"/>
      <c r="J20" s="70" t="n"/>
      <c r="K20" s="70" t="n"/>
      <c r="L20" s="70" t="n"/>
      <c r="M20" s="70" t="n"/>
    </row>
    <row r="21" ht="24" customHeight="1">
      <c r="A21" s="68" t="inlineStr">
        <is>
          <t>Platz 7-8</t>
        </is>
      </c>
      <c r="B21" s="69" t="n">
        <v>15</v>
      </c>
      <c r="C21" s="69" t="n">
        <v>3</v>
      </c>
      <c r="D21" s="72" t="n"/>
      <c r="E21" s="72" t="n"/>
      <c r="F21" s="73" t="n"/>
      <c r="G21" s="73" t="n"/>
      <c r="H21" s="70" t="n"/>
      <c r="I21" s="70" t="n"/>
      <c r="J21" s="70" t="n"/>
      <c r="K21" s="70" t="n"/>
      <c r="L21" s="70" t="n"/>
      <c r="M21" s="70" t="n"/>
    </row>
    <row r="22" ht="24" customHeight="1">
      <c r="A22" s="68" t="inlineStr">
        <is>
          <t>Platz 5-6</t>
        </is>
      </c>
      <c r="B22" s="69" t="n">
        <v>16</v>
      </c>
      <c r="C22" s="69" t="n">
        <v>4</v>
      </c>
      <c r="D22" s="72" t="n"/>
      <c r="E22" s="72" t="n"/>
      <c r="F22" s="73" t="n"/>
      <c r="G22" s="73" t="n"/>
      <c r="H22" s="70" t="n"/>
      <c r="I22" s="70" t="n"/>
      <c r="J22" s="70" t="n"/>
      <c r="K22" s="70" t="n"/>
      <c r="L22" s="70" t="n"/>
      <c r="M22" s="70" t="n"/>
    </row>
    <row r="23" ht="24" customHeight="1">
      <c r="A23" s="68" t="inlineStr">
        <is>
          <t>Finale</t>
        </is>
      </c>
      <c r="B23" s="69" t="n">
        <v>17</v>
      </c>
      <c r="C23" s="69" t="n">
        <v>1</v>
      </c>
      <c r="D23" s="72" t="n"/>
      <c r="E23" s="72" t="n"/>
      <c r="F23" s="73" t="n"/>
      <c r="G23" s="73" t="n"/>
      <c r="H23" s="70" t="n"/>
      <c r="I23" s="70" t="n"/>
      <c r="J23" s="70" t="n"/>
      <c r="K23" s="70" t="n"/>
      <c r="L23" s="70" t="n"/>
      <c r="M23" s="70" t="n"/>
    </row>
    <row r="24" ht="24" customHeight="1">
      <c r="A24" s="68" t="inlineStr">
        <is>
          <t>Platz 3-4</t>
        </is>
      </c>
      <c r="B24" s="69" t="n">
        <v>18</v>
      </c>
      <c r="C24" s="69" t="n">
        <v>2</v>
      </c>
      <c r="D24" s="72" t="n"/>
      <c r="E24" s="72" t="n"/>
      <c r="F24" s="73" t="n"/>
      <c r="G24" s="73" t="n"/>
      <c r="H24" s="70" t="n"/>
      <c r="I24" s="70" t="n"/>
      <c r="J24" s="70" t="n"/>
      <c r="K24" s="70" t="n"/>
      <c r="L24" s="70" t="n"/>
      <c r="M24" s="70" t="n"/>
    </row>
    <row r="26">
      <c r="A26" s="5" t="inlineStr">
        <is>
          <t>Tabelle Gruppe 1</t>
        </is>
      </c>
      <c r="B26" s="71" t="n"/>
      <c r="C26" s="71" t="n"/>
      <c r="D26" s="71" t="n"/>
      <c r="E26" s="71" t="n"/>
      <c r="F26" s="71" t="n"/>
      <c r="G26" s="71" t="n"/>
      <c r="H26" s="71" t="n"/>
    </row>
    <row r="27">
      <c r="A27" s="7" t="inlineStr">
        <is>
          <t>Setz.</t>
        </is>
      </c>
      <c r="B27" s="7" t="inlineStr">
        <is>
          <t>Spieler</t>
        </is>
      </c>
      <c r="C27" s="7" t="inlineStr">
        <is>
          <t>Pass</t>
        </is>
      </c>
      <c r="D27" s="7" t="inlineStr">
        <is>
          <t>Partie-Punkte</t>
        </is>
      </c>
      <c r="E27" s="7" t="inlineStr">
        <is>
          <t>Bälle</t>
        </is>
      </c>
      <c r="F27" s="7" t="inlineStr">
        <is>
          <t>Aufn.</t>
        </is>
      </c>
      <c r="G27" s="7" t="inlineStr">
        <is>
          <t>GD</t>
        </is>
      </c>
      <c r="H27" s="7" t="inlineStr">
        <is>
          <t>HS</t>
        </is>
      </c>
    </row>
    <row r="28">
      <c r="A28" s="74" t="n">
        <v>1</v>
      </c>
      <c r="B28" s="75">
        <f>IF('Teilnehmer'!B2="","",'Teilnehmer'!B2)</f>
        <v/>
      </c>
      <c r="C28" s="74">
        <f>IF('Teilnehmer'!C2="","",'Teilnehmer'!C2)</f>
        <v/>
      </c>
      <c r="D28" s="74">
        <f>IF(C28="","",SUMPRODUCT(($F$5:$F$16=C28)*($H$5:$H$16&lt;&gt;"")*($I$5:$I$16&lt;&gt;"")*IF($H$5:$H$16&gt;$I$5:$I$16,2,IF($H$5:$H$16=$I$5:$I$16,1,0)))+SUMPRODUCT(($G$5:$G$16=C28)*($H$5:$H$16&lt;&gt;"")*($I$5:$I$16&lt;&gt;"")*IF($I$5:$I$16&gt;$H$5:$H$16,2,IF($I$5:$I$16=$H$5:$H$16,1,0))))</f>
        <v/>
      </c>
      <c r="E28" s="76">
        <f>IF(C28="","",SUMIFS($H:$H,$F:$F,C28)+SUMIFS($I:$I,$G:$G,C28))</f>
        <v/>
      </c>
      <c r="F28" s="76">
        <f>IF(C28="","",SUMIFS($J:$J,$F:$F,C28)+SUMIFS($K:$K,$G:$G,C28))</f>
        <v/>
      </c>
      <c r="G28" s="77">
        <f>IF(F28&gt;0,TRUNC(E28/F28,3),"")</f>
        <v/>
      </c>
      <c r="H28" s="76">
        <f>IF(C28="","",MAX(MAXIFS($L:$L,$F:$F,C28),MAXIFS($M:$M,$G:$G,C28)))</f>
        <v/>
      </c>
    </row>
    <row r="29">
      <c r="A29" s="74" t="n">
        <v>4</v>
      </c>
      <c r="B29" s="75">
        <f>IF('Teilnehmer'!B5="","",'Teilnehmer'!B5)</f>
        <v/>
      </c>
      <c r="C29" s="74">
        <f>IF('Teilnehmer'!C5="","",'Teilnehmer'!C5)</f>
        <v/>
      </c>
      <c r="D29" s="74">
        <f>IF(C29="","",SUMPRODUCT(($F$5:$F$16=C29)*($H$5:$H$16&lt;&gt;"")*($I$5:$I$16&lt;&gt;"")*IF($H$5:$H$16&gt;$I$5:$I$16,2,IF($H$5:$H$16=$I$5:$I$16,1,0)))+SUMPRODUCT(($G$5:$G$16=C29)*($H$5:$H$16&lt;&gt;"")*($I$5:$I$16&lt;&gt;"")*IF($I$5:$I$16&gt;$H$5:$H$16,2,IF($I$5:$I$16=$H$5:$H$16,1,0))))</f>
        <v/>
      </c>
      <c r="E29" s="76">
        <f>IF(C29="","",SUMIFS($H:$H,$F:$F,C29)+SUMIFS($I:$I,$G:$G,C29))</f>
        <v/>
      </c>
      <c r="F29" s="76">
        <f>IF(C29="","",SUMIFS($J:$J,$F:$F,C29)+SUMIFS($K:$K,$G:$G,C29))</f>
        <v/>
      </c>
      <c r="G29" s="77">
        <f>IF(F29&gt;0,TRUNC(E29/F29,3),"")</f>
        <v/>
      </c>
      <c r="H29" s="76">
        <f>IF(C29="","",MAX(MAXIFS($L:$L,$F:$F,C29),MAXIFS($M:$M,$G:$G,C29)))</f>
        <v/>
      </c>
    </row>
    <row r="30">
      <c r="A30" s="74" t="n">
        <v>5</v>
      </c>
      <c r="B30" s="75">
        <f>IF('Teilnehmer'!B6="","",'Teilnehmer'!B6)</f>
        <v/>
      </c>
      <c r="C30" s="74">
        <f>IF('Teilnehmer'!C6="","",'Teilnehmer'!C6)</f>
        <v/>
      </c>
      <c r="D30" s="74">
        <f>IF(C30="","",SUMPRODUCT(($F$5:$F$16=C30)*($H$5:$H$16&lt;&gt;"")*($I$5:$I$16&lt;&gt;"")*IF($H$5:$H$16&gt;$I$5:$I$16,2,IF($H$5:$H$16=$I$5:$I$16,1,0)))+SUMPRODUCT(($G$5:$G$16=C30)*($H$5:$H$16&lt;&gt;"")*($I$5:$I$16&lt;&gt;"")*IF($I$5:$I$16&gt;$H$5:$H$16,2,IF($I$5:$I$16=$H$5:$H$16,1,0))))</f>
        <v/>
      </c>
      <c r="E30" s="76">
        <f>IF(C30="","",SUMIFS($H:$H,$F:$F,C30)+SUMIFS($I:$I,$G:$G,C30))</f>
        <v/>
      </c>
      <c r="F30" s="76">
        <f>IF(C30="","",SUMIFS($J:$J,$F:$F,C30)+SUMIFS($K:$K,$G:$G,C30))</f>
        <v/>
      </c>
      <c r="G30" s="77">
        <f>IF(F30&gt;0,TRUNC(E30/F30,3),"")</f>
        <v/>
      </c>
      <c r="H30" s="76">
        <f>IF(C30="","",MAX(MAXIFS($L:$L,$F:$F,C30),MAXIFS($M:$M,$G:$G,C30)))</f>
        <v/>
      </c>
    </row>
    <row r="31">
      <c r="A31" s="74" t="n">
        <v>8</v>
      </c>
      <c r="B31" s="75">
        <f>IF('Teilnehmer'!B9="","",'Teilnehmer'!B9)</f>
        <v/>
      </c>
      <c r="C31" s="74">
        <f>IF('Teilnehmer'!C9="","",'Teilnehmer'!C9)</f>
        <v/>
      </c>
      <c r="D31" s="74">
        <f>IF(C31="","",SUMPRODUCT(($F$5:$F$16=C31)*($H$5:$H$16&lt;&gt;"")*($I$5:$I$16&lt;&gt;"")*IF($H$5:$H$16&gt;$I$5:$I$16,2,IF($H$5:$H$16=$I$5:$I$16,1,0)))+SUMPRODUCT(($G$5:$G$16=C31)*($H$5:$H$16&lt;&gt;"")*($I$5:$I$16&lt;&gt;"")*IF($I$5:$I$16&gt;$H$5:$H$16,2,IF($I$5:$I$16=$H$5:$H$16,1,0))))</f>
        <v/>
      </c>
      <c r="E31" s="76">
        <f>IF(C31="","",SUMIFS($H:$H,$F:$F,C31)+SUMIFS($I:$I,$G:$G,C31))</f>
        <v/>
      </c>
      <c r="F31" s="76">
        <f>IF(C31="","",SUMIFS($J:$J,$F:$F,C31)+SUMIFS($K:$K,$G:$G,C31))</f>
        <v/>
      </c>
      <c r="G31" s="77">
        <f>IF(F31&gt;0,TRUNC(E31/F31,3),"")</f>
        <v/>
      </c>
      <c r="H31" s="76">
        <f>IF(C31="","",MAX(MAXIFS($L:$L,$F:$F,C31),MAXIFS($M:$M,$G:$G,C31)))</f>
        <v/>
      </c>
    </row>
    <row r="34">
      <c r="A34" s="5" t="inlineStr">
        <is>
          <t>Tabelle Gruppe 2</t>
        </is>
      </c>
      <c r="B34" s="71" t="n"/>
      <c r="C34" s="71" t="n"/>
      <c r="D34" s="71" t="n"/>
      <c r="E34" s="71" t="n"/>
      <c r="F34" s="71" t="n"/>
      <c r="G34" s="71" t="n"/>
      <c r="H34" s="71" t="n"/>
    </row>
    <row r="35">
      <c r="A35" s="7" t="inlineStr">
        <is>
          <t>Setz.</t>
        </is>
      </c>
      <c r="B35" s="7" t="inlineStr">
        <is>
          <t>Spieler</t>
        </is>
      </c>
      <c r="C35" s="7" t="inlineStr">
        <is>
          <t>Pass</t>
        </is>
      </c>
      <c r="D35" s="7" t="inlineStr">
        <is>
          <t>Partie-Punkte</t>
        </is>
      </c>
      <c r="E35" s="7" t="inlineStr">
        <is>
          <t>Bälle</t>
        </is>
      </c>
      <c r="F35" s="7" t="inlineStr">
        <is>
          <t>Aufn.</t>
        </is>
      </c>
      <c r="G35" s="7" t="inlineStr">
        <is>
          <t>GD</t>
        </is>
      </c>
      <c r="H35" s="7" t="inlineStr">
        <is>
          <t>HS</t>
        </is>
      </c>
    </row>
    <row r="36">
      <c r="A36" s="74" t="n">
        <v>2</v>
      </c>
      <c r="B36" s="75">
        <f>IF('Teilnehmer'!B3="","",'Teilnehmer'!B3)</f>
        <v/>
      </c>
      <c r="C36" s="74">
        <f>IF('Teilnehmer'!C3="","",'Teilnehmer'!C3)</f>
        <v/>
      </c>
      <c r="D36" s="74">
        <f>IF(C36="","",SUMPRODUCT(($F$5:$F$16=C36)*($H$5:$H$16&lt;&gt;"")*($I$5:$I$16&lt;&gt;"")*IF($H$5:$H$16&gt;$I$5:$I$16,2,IF($H$5:$H$16=$I$5:$I$16,1,0)))+SUMPRODUCT(($G$5:$G$16=C36)*($H$5:$H$16&lt;&gt;"")*($I$5:$I$16&lt;&gt;"")*IF($I$5:$I$16&gt;$H$5:$H$16,2,IF($I$5:$I$16=$H$5:$H$16,1,0))))</f>
        <v/>
      </c>
      <c r="E36" s="76">
        <f>IF(C36="","",SUMIFS($H:$H,$F:$F,C36)+SUMIFS($I:$I,$G:$G,C36))</f>
        <v/>
      </c>
      <c r="F36" s="76">
        <f>IF(C36="","",SUMIFS($J:$J,$F:$F,C36)+SUMIFS($K:$K,$G:$G,C36))</f>
        <v/>
      </c>
      <c r="G36" s="77">
        <f>IF(F36&gt;0,TRUNC(E36/F36,3),"")</f>
        <v/>
      </c>
      <c r="H36" s="76">
        <f>IF(C36="","",MAX(MAXIFS($L:$L,$F:$F,C36),MAXIFS($M:$M,$G:$G,C36)))</f>
        <v/>
      </c>
    </row>
    <row r="37">
      <c r="A37" s="74" t="n">
        <v>3</v>
      </c>
      <c r="B37" s="75">
        <f>IF('Teilnehmer'!B4="","",'Teilnehmer'!B4)</f>
        <v/>
      </c>
      <c r="C37" s="74">
        <f>IF('Teilnehmer'!C4="","",'Teilnehmer'!C4)</f>
        <v/>
      </c>
      <c r="D37" s="74">
        <f>IF(C37="","",SUMPRODUCT(($F$5:$F$16=C37)*($H$5:$H$16&lt;&gt;"")*($I$5:$I$16&lt;&gt;"")*IF($H$5:$H$16&gt;$I$5:$I$16,2,IF($H$5:$H$16=$I$5:$I$16,1,0)))+SUMPRODUCT(($G$5:$G$16=C37)*($H$5:$H$16&lt;&gt;"")*($I$5:$I$16&lt;&gt;"")*IF($I$5:$I$16&gt;$H$5:$H$16,2,IF($I$5:$I$16=$H$5:$H$16,1,0))))</f>
        <v/>
      </c>
      <c r="E37" s="76">
        <f>IF(C37="","",SUMIFS($H:$H,$F:$F,C37)+SUMIFS($I:$I,$G:$G,C37))</f>
        <v/>
      </c>
      <c r="F37" s="76">
        <f>IF(C37="","",SUMIFS($J:$J,$F:$F,C37)+SUMIFS($K:$K,$G:$G,C37))</f>
        <v/>
      </c>
      <c r="G37" s="77">
        <f>IF(F37&gt;0,TRUNC(E37/F37,3),"")</f>
        <v/>
      </c>
      <c r="H37" s="76">
        <f>IF(C37="","",MAX(MAXIFS($L:$L,$F:$F,C37),MAXIFS($M:$M,$G:$G,C37)))</f>
        <v/>
      </c>
    </row>
    <row r="38">
      <c r="A38" s="74" t="n">
        <v>6</v>
      </c>
      <c r="B38" s="75">
        <f>IF('Teilnehmer'!B7="","",'Teilnehmer'!B7)</f>
        <v/>
      </c>
      <c r="C38" s="74">
        <f>IF('Teilnehmer'!C7="","",'Teilnehmer'!C7)</f>
        <v/>
      </c>
      <c r="D38" s="74">
        <f>IF(C38="","",SUMPRODUCT(($F$5:$F$16=C38)*($H$5:$H$16&lt;&gt;"")*($I$5:$I$16&lt;&gt;"")*IF($H$5:$H$16&gt;$I$5:$I$16,2,IF($H$5:$H$16=$I$5:$I$16,1,0)))+SUMPRODUCT(($G$5:$G$16=C38)*($H$5:$H$16&lt;&gt;"")*($I$5:$I$16&lt;&gt;"")*IF($I$5:$I$16&gt;$H$5:$H$16,2,IF($I$5:$I$16=$H$5:$H$16,1,0))))</f>
        <v/>
      </c>
      <c r="E38" s="76">
        <f>IF(C38="","",SUMIFS($H:$H,$F:$F,C38)+SUMIFS($I:$I,$G:$G,C38))</f>
        <v/>
      </c>
      <c r="F38" s="76">
        <f>IF(C38="","",SUMIFS($J:$J,$F:$F,C38)+SUMIFS($K:$K,$G:$G,C38))</f>
        <v/>
      </c>
      <c r="G38" s="77">
        <f>IF(F38&gt;0,TRUNC(E38/F38,3),"")</f>
        <v/>
      </c>
      <c r="H38" s="76">
        <f>IF(C38="","",MAX(MAXIFS($L:$L,$F:$F,C38),MAXIFS($M:$M,$G:$G,C38)))</f>
        <v/>
      </c>
    </row>
    <row r="39">
      <c r="A39" s="74" t="n">
        <v>7</v>
      </c>
      <c r="B39" s="75">
        <f>IF('Teilnehmer'!B8="","",'Teilnehmer'!B8)</f>
        <v/>
      </c>
      <c r="C39" s="74">
        <f>IF('Teilnehmer'!C8="","",'Teilnehmer'!C8)</f>
        <v/>
      </c>
      <c r="D39" s="74">
        <f>IF(C39="","",SUMPRODUCT(($F$5:$F$16=C39)*($H$5:$H$16&lt;&gt;"")*($I$5:$I$16&lt;&gt;"")*IF($H$5:$H$16&gt;$I$5:$I$16,2,IF($H$5:$H$16=$I$5:$I$16,1,0)))+SUMPRODUCT(($G$5:$G$16=C39)*($H$5:$H$16&lt;&gt;"")*($I$5:$I$16&lt;&gt;"")*IF($I$5:$I$16&gt;$H$5:$H$16,2,IF($I$5:$I$16=$H$5:$H$16,1,0))))</f>
        <v/>
      </c>
      <c r="E39" s="76">
        <f>IF(C39="","",SUMIFS($H:$H,$F:$F,C39)+SUMIFS($I:$I,$G:$G,C39))</f>
        <v/>
      </c>
      <c r="F39" s="76">
        <f>IF(C39="","",SUMIFS($J:$J,$F:$F,C39)+SUMIFS($K:$K,$G:$G,C39))</f>
        <v/>
      </c>
      <c r="G39" s="77">
        <f>IF(F39&gt;0,TRUNC(E39/F39,3),"")</f>
        <v/>
      </c>
      <c r="H39" s="76">
        <f>IF(C39="","",MAX(MAXIFS($L:$L,$F:$F,C39),MAXIFS($M:$M,$G:$G,C39)))</f>
        <v/>
      </c>
    </row>
  </sheetData>
  <mergeCells count="4">
    <mergeCell ref="D1:J1"/>
    <mergeCell ref="A26:H26"/>
    <mergeCell ref="A17:M17"/>
    <mergeCell ref="A34:H34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4" customWidth="1" min="4" max="4"/>
    <col width="16" customWidth="1" min="5" max="5"/>
    <col width="58" customWidth="1" min="6" max="6"/>
  </cols>
  <sheetData>
    <row r="1">
      <c r="A1" s="59" t="inlineStr">
        <is>
          <t>Setzposition</t>
        </is>
      </c>
      <c r="B1" s="59" t="inlineStr">
        <is>
          <t>Spieler</t>
        </is>
      </c>
      <c r="C1" s="59" t="inlineStr">
        <is>
          <t>Passnummer</t>
        </is>
      </c>
      <c r="D1" s="59" t="inlineStr">
        <is>
          <t>Gruppe</t>
        </is>
      </c>
      <c r="E1" s="59" t="inlineStr">
        <is>
          <t>Gruppenposition</t>
        </is>
      </c>
      <c r="F1" s="59" t="inlineStr">
        <is>
          <t>Hinweis</t>
        </is>
      </c>
    </row>
    <row r="2">
      <c r="A2" s="60" t="n">
        <v>1</v>
      </c>
      <c r="B2" s="61" t="inlineStr"/>
      <c r="C2" s="62" t="inlineStr"/>
      <c r="D2" s="60" t="inlineStr">
        <is>
          <t>Gruppe 1</t>
        </is>
      </c>
      <c r="E2" s="60" t="n">
        <v>1</v>
      </c>
      <c r="F2" s="63" t="inlineStr">
        <is>
          <t>Name und Passnummer hier eintragen</t>
        </is>
      </c>
    </row>
    <row r="3">
      <c r="A3" s="60" t="n">
        <v>2</v>
      </c>
      <c r="B3" s="61" t="inlineStr"/>
      <c r="C3" s="62" t="inlineStr"/>
      <c r="D3" s="60" t="inlineStr">
        <is>
          <t>Gruppe 2</t>
        </is>
      </c>
      <c r="E3" s="60" t="n">
        <v>1</v>
      </c>
      <c r="F3" s="63" t="inlineStr">
        <is>
          <t>Name und Passnummer hier eintragen</t>
        </is>
      </c>
    </row>
    <row r="4">
      <c r="A4" s="60" t="n">
        <v>3</v>
      </c>
      <c r="B4" s="61" t="inlineStr"/>
      <c r="C4" s="62" t="inlineStr"/>
      <c r="D4" s="60" t="inlineStr">
        <is>
          <t>Gruppe 2</t>
        </is>
      </c>
      <c r="E4" s="60" t="n">
        <v>2</v>
      </c>
      <c r="F4" s="63" t="inlineStr">
        <is>
          <t>Name und Passnummer hier eintragen</t>
        </is>
      </c>
    </row>
    <row r="5">
      <c r="A5" s="60" t="n">
        <v>4</v>
      </c>
      <c r="B5" s="61" t="inlineStr"/>
      <c r="C5" s="62" t="inlineStr"/>
      <c r="D5" s="60" t="inlineStr">
        <is>
          <t>Gruppe 1</t>
        </is>
      </c>
      <c r="E5" s="60" t="n">
        <v>2</v>
      </c>
      <c r="F5" s="63" t="inlineStr">
        <is>
          <t>Name und Passnummer hier eintragen</t>
        </is>
      </c>
    </row>
    <row r="6">
      <c r="A6" s="60" t="n">
        <v>5</v>
      </c>
      <c r="B6" s="61" t="inlineStr"/>
      <c r="C6" s="62" t="inlineStr"/>
      <c r="D6" s="60" t="inlineStr">
        <is>
          <t>Gruppe 1</t>
        </is>
      </c>
      <c r="E6" s="60" t="n">
        <v>3</v>
      </c>
      <c r="F6" s="63" t="inlineStr">
        <is>
          <t>Name und Passnummer hier eintragen</t>
        </is>
      </c>
    </row>
    <row r="7">
      <c r="A7" s="60" t="n">
        <v>6</v>
      </c>
      <c r="B7" s="61" t="inlineStr"/>
      <c r="C7" s="62" t="inlineStr"/>
      <c r="D7" s="60" t="inlineStr">
        <is>
          <t>Gruppe 2</t>
        </is>
      </c>
      <c r="E7" s="60" t="n">
        <v>3</v>
      </c>
      <c r="F7" s="63" t="inlineStr">
        <is>
          <t>Name und Passnummer hier eintragen</t>
        </is>
      </c>
    </row>
    <row r="8">
      <c r="A8" s="60" t="n">
        <v>7</v>
      </c>
      <c r="B8" s="61" t="inlineStr"/>
      <c r="C8" s="62" t="inlineStr"/>
      <c r="D8" s="60" t="inlineStr">
        <is>
          <t>Gruppe 2</t>
        </is>
      </c>
      <c r="E8" s="60" t="n">
        <v>4</v>
      </c>
      <c r="F8" s="63" t="inlineStr">
        <is>
          <t>Name und Passnummer hier eintragen</t>
        </is>
      </c>
    </row>
    <row r="9">
      <c r="A9" s="60" t="n">
        <v>8</v>
      </c>
      <c r="B9" s="61" t="inlineStr"/>
      <c r="C9" s="62" t="inlineStr"/>
      <c r="D9" s="60" t="inlineStr">
        <is>
          <t>Gruppe 1</t>
        </is>
      </c>
      <c r="E9" s="60" t="n">
        <v>4</v>
      </c>
      <c r="F9" s="63" t="inlineStr">
        <is>
          <t>Name und Passnummer hier eintragen</t>
        </is>
      </c>
    </row>
    <row r="11" ht="34" customHeight="1">
      <c r="A11" s="55" t="inlineStr">
        <is>
          <t>Diese acht Namen werden automatisch in das Blatt Tableau übernommen. CSV Export verwendet die Passnummern. Final- und Platzierungsspiele bitte nach Feststehen der Paarungen im Tableau ergänzen.</t>
        </is>
      </c>
      <c r="B11" s="64" t="n"/>
      <c r="C11" s="64" t="n"/>
      <c r="D11" s="64" t="n"/>
      <c r="E11" s="64" t="n"/>
      <c r="F11" s="65" t="n"/>
    </row>
  </sheetData>
  <mergeCells count="1">
    <mergeCell ref="A11:F1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8" customWidth="1" min="4" max="4"/>
    <col width="18" customWidth="1" min="5" max="5"/>
    <col width="16" customWidth="1" min="6" max="6"/>
    <col width="16" customWidth="1" min="7" max="7"/>
    <col width="18" customWidth="1" min="8" max="8"/>
    <col width="18" customWidth="1" min="9" max="9"/>
    <col width="20" customWidth="1" min="10" max="10"/>
    <col width="20" customWidth="1" min="11" max="11"/>
    <col width="14" customWidth="1" min="12" max="12"/>
    <col width="10" customWidth="1" min="13" max="13"/>
  </cols>
  <sheetData>
    <row r="1">
      <c r="A1" s="58" t="inlineStr">
        <is>
          <t>GRUPPE/RUNDE</t>
        </is>
      </c>
      <c r="B1" s="58" t="inlineStr">
        <is>
          <t>PARTIE</t>
        </is>
      </c>
      <c r="C1" s="58" t="inlineStr">
        <is>
          <t>SATZ-NR.</t>
        </is>
      </c>
      <c r="D1" s="58" t="inlineStr">
        <is>
          <t>PASS-NR. SPIELER 1</t>
        </is>
      </c>
      <c r="E1" s="58" t="inlineStr">
        <is>
          <t>PASS-NR. SPIELER 2</t>
        </is>
      </c>
      <c r="F1" s="58" t="inlineStr">
        <is>
          <t>PUNKTE SPIELER 1</t>
        </is>
      </c>
      <c r="G1" s="58" t="inlineStr">
        <is>
          <t>PUNKTE SPIELER 2</t>
        </is>
      </c>
      <c r="H1" s="58" t="inlineStr">
        <is>
          <t>AUFNAHMEN SPIELER 1</t>
        </is>
      </c>
      <c r="I1" s="58" t="inlineStr">
        <is>
          <t>AUFNAHMEN SPIELER 2</t>
        </is>
      </c>
      <c r="J1" s="58" t="inlineStr">
        <is>
          <t>HÖCHSTSERIE SPIELER 1</t>
        </is>
      </c>
      <c r="K1" s="58" t="inlineStr">
        <is>
          <t>HÖCHSTSERIE SPIELER 2</t>
        </is>
      </c>
      <c r="L1" s="58" t="inlineStr">
        <is>
          <t>DATUM</t>
        </is>
      </c>
      <c r="M1" s="58" t="inlineStr">
        <is>
          <t>UHRZEIT</t>
        </is>
      </c>
    </row>
    <row r="2" ht="18" customHeight="1">
      <c r="A2" s="60">
        <f>IF('Tableau'!A5="","",'Tableau'!A5)</f>
        <v/>
      </c>
      <c r="B2" s="60">
        <f>IF('Tableau'!B5="","",'Tableau'!B5)</f>
        <v/>
      </c>
      <c r="C2" s="60" t="n">
        <v>1</v>
      </c>
      <c r="D2" s="60">
        <f>IF('Tableau'!F5="","",'Tableau'!F5)</f>
        <v/>
      </c>
      <c r="E2" s="60">
        <f>IF('Tableau'!G5="","",'Tableau'!G5)</f>
        <v/>
      </c>
      <c r="F2" s="60">
        <f>IF('Tableau'!H5="","",'Tableau'!H5)</f>
        <v/>
      </c>
      <c r="G2" s="60">
        <f>IF('Tableau'!I5="","",'Tableau'!I5)</f>
        <v/>
      </c>
      <c r="H2" s="60">
        <f>IF('Tableau'!J5="","",'Tableau'!J5)</f>
        <v/>
      </c>
      <c r="I2" s="60">
        <f>IF('Tableau'!K5="","",'Tableau'!K5)</f>
        <v/>
      </c>
      <c r="J2" s="60">
        <f>IF('Tableau'!L5="","",'Tableau'!L5)</f>
        <v/>
      </c>
      <c r="K2" s="60">
        <f>IF('Tableau'!M5="","",'Tableau'!M5)</f>
        <v/>
      </c>
      <c r="L2" s="60">
        <f>'Tableau'!M2</f>
        <v/>
      </c>
      <c r="M2" s="60" t="inlineStr"/>
    </row>
    <row r="3" ht="18" customHeight="1">
      <c r="A3" s="60">
        <f>IF('Tableau'!A6="","",'Tableau'!A6)</f>
        <v/>
      </c>
      <c r="B3" s="60">
        <f>IF('Tableau'!B6="","",'Tableau'!B6)</f>
        <v/>
      </c>
      <c r="C3" s="60" t="n">
        <v>1</v>
      </c>
      <c r="D3" s="60">
        <f>IF('Tableau'!F6="","",'Tableau'!F6)</f>
        <v/>
      </c>
      <c r="E3" s="60">
        <f>IF('Tableau'!G6="","",'Tableau'!G6)</f>
        <v/>
      </c>
      <c r="F3" s="60">
        <f>IF('Tableau'!H6="","",'Tableau'!H6)</f>
        <v/>
      </c>
      <c r="G3" s="60">
        <f>IF('Tableau'!I6="","",'Tableau'!I6)</f>
        <v/>
      </c>
      <c r="H3" s="60">
        <f>IF('Tableau'!J6="","",'Tableau'!J6)</f>
        <v/>
      </c>
      <c r="I3" s="60">
        <f>IF('Tableau'!K6="","",'Tableau'!K6)</f>
        <v/>
      </c>
      <c r="J3" s="60">
        <f>IF('Tableau'!L6="","",'Tableau'!L6)</f>
        <v/>
      </c>
      <c r="K3" s="60">
        <f>IF('Tableau'!M6="","",'Tableau'!M6)</f>
        <v/>
      </c>
      <c r="L3" s="60">
        <f>'Tableau'!M2</f>
        <v/>
      </c>
      <c r="M3" s="60" t="inlineStr"/>
    </row>
    <row r="4" ht="18" customHeight="1">
      <c r="A4" s="60">
        <f>IF('Tableau'!A7="","",'Tableau'!A7)</f>
        <v/>
      </c>
      <c r="B4" s="60">
        <f>IF('Tableau'!B7="","",'Tableau'!B7)</f>
        <v/>
      </c>
      <c r="C4" s="60" t="n">
        <v>1</v>
      </c>
      <c r="D4" s="60">
        <f>IF('Tableau'!F7="","",'Tableau'!F7)</f>
        <v/>
      </c>
      <c r="E4" s="60">
        <f>IF('Tableau'!G7="","",'Tableau'!G7)</f>
        <v/>
      </c>
      <c r="F4" s="60">
        <f>IF('Tableau'!H7="","",'Tableau'!H7)</f>
        <v/>
      </c>
      <c r="G4" s="60">
        <f>IF('Tableau'!I7="","",'Tableau'!I7)</f>
        <v/>
      </c>
      <c r="H4" s="60">
        <f>IF('Tableau'!J7="","",'Tableau'!J7)</f>
        <v/>
      </c>
      <c r="I4" s="60">
        <f>IF('Tableau'!K7="","",'Tableau'!K7)</f>
        <v/>
      </c>
      <c r="J4" s="60">
        <f>IF('Tableau'!L7="","",'Tableau'!L7)</f>
        <v/>
      </c>
      <c r="K4" s="60">
        <f>IF('Tableau'!M7="","",'Tableau'!M7)</f>
        <v/>
      </c>
      <c r="L4" s="60">
        <f>'Tableau'!M2</f>
        <v/>
      </c>
      <c r="M4" s="60" t="inlineStr"/>
    </row>
    <row r="5" ht="18" customHeight="1">
      <c r="A5" s="60">
        <f>IF('Tableau'!A8="","",'Tableau'!A8)</f>
        <v/>
      </c>
      <c r="B5" s="60">
        <f>IF('Tableau'!B8="","",'Tableau'!B8)</f>
        <v/>
      </c>
      <c r="C5" s="60" t="n">
        <v>1</v>
      </c>
      <c r="D5" s="60">
        <f>IF('Tableau'!F8="","",'Tableau'!F8)</f>
        <v/>
      </c>
      <c r="E5" s="60">
        <f>IF('Tableau'!G8="","",'Tableau'!G8)</f>
        <v/>
      </c>
      <c r="F5" s="60">
        <f>IF('Tableau'!H8="","",'Tableau'!H8)</f>
        <v/>
      </c>
      <c r="G5" s="60">
        <f>IF('Tableau'!I8="","",'Tableau'!I8)</f>
        <v/>
      </c>
      <c r="H5" s="60">
        <f>IF('Tableau'!J8="","",'Tableau'!J8)</f>
        <v/>
      </c>
      <c r="I5" s="60">
        <f>IF('Tableau'!K8="","",'Tableau'!K8)</f>
        <v/>
      </c>
      <c r="J5" s="60">
        <f>IF('Tableau'!L8="","",'Tableau'!L8)</f>
        <v/>
      </c>
      <c r="K5" s="60">
        <f>IF('Tableau'!M8="","",'Tableau'!M8)</f>
        <v/>
      </c>
      <c r="L5" s="60">
        <f>'Tableau'!M2</f>
        <v/>
      </c>
      <c r="M5" s="60" t="inlineStr"/>
    </row>
    <row r="6" ht="18" customHeight="1">
      <c r="A6" s="60">
        <f>IF('Tableau'!A9="","",'Tableau'!A9)</f>
        <v/>
      </c>
      <c r="B6" s="60">
        <f>IF('Tableau'!B9="","",'Tableau'!B9)</f>
        <v/>
      </c>
      <c r="C6" s="60" t="n">
        <v>1</v>
      </c>
      <c r="D6" s="60">
        <f>IF('Tableau'!F9="","",'Tableau'!F9)</f>
        <v/>
      </c>
      <c r="E6" s="60">
        <f>IF('Tableau'!G9="","",'Tableau'!G9)</f>
        <v/>
      </c>
      <c r="F6" s="60">
        <f>IF('Tableau'!H9="","",'Tableau'!H9)</f>
        <v/>
      </c>
      <c r="G6" s="60">
        <f>IF('Tableau'!I9="","",'Tableau'!I9)</f>
        <v/>
      </c>
      <c r="H6" s="60">
        <f>IF('Tableau'!J9="","",'Tableau'!J9)</f>
        <v/>
      </c>
      <c r="I6" s="60">
        <f>IF('Tableau'!K9="","",'Tableau'!K9)</f>
        <v/>
      </c>
      <c r="J6" s="60">
        <f>IF('Tableau'!L9="","",'Tableau'!L9)</f>
        <v/>
      </c>
      <c r="K6" s="60">
        <f>IF('Tableau'!M9="","",'Tableau'!M9)</f>
        <v/>
      </c>
      <c r="L6" s="60">
        <f>'Tableau'!M2</f>
        <v/>
      </c>
      <c r="M6" s="60" t="inlineStr"/>
    </row>
    <row r="7" ht="18" customHeight="1">
      <c r="A7" s="60">
        <f>IF('Tableau'!A10="","",'Tableau'!A10)</f>
        <v/>
      </c>
      <c r="B7" s="60">
        <f>IF('Tableau'!B10="","",'Tableau'!B10)</f>
        <v/>
      </c>
      <c r="C7" s="60" t="n">
        <v>1</v>
      </c>
      <c r="D7" s="60">
        <f>IF('Tableau'!F10="","",'Tableau'!F10)</f>
        <v/>
      </c>
      <c r="E7" s="60">
        <f>IF('Tableau'!G10="","",'Tableau'!G10)</f>
        <v/>
      </c>
      <c r="F7" s="60">
        <f>IF('Tableau'!H10="","",'Tableau'!H10)</f>
        <v/>
      </c>
      <c r="G7" s="60">
        <f>IF('Tableau'!I10="","",'Tableau'!I10)</f>
        <v/>
      </c>
      <c r="H7" s="60">
        <f>IF('Tableau'!J10="","",'Tableau'!J10)</f>
        <v/>
      </c>
      <c r="I7" s="60">
        <f>IF('Tableau'!K10="","",'Tableau'!K10)</f>
        <v/>
      </c>
      <c r="J7" s="60">
        <f>IF('Tableau'!L10="","",'Tableau'!L10)</f>
        <v/>
      </c>
      <c r="K7" s="60">
        <f>IF('Tableau'!M10="","",'Tableau'!M10)</f>
        <v/>
      </c>
      <c r="L7" s="60">
        <f>'Tableau'!M2</f>
        <v/>
      </c>
      <c r="M7" s="60" t="inlineStr"/>
    </row>
    <row r="8" ht="18" customHeight="1">
      <c r="A8" s="60">
        <f>IF('Tableau'!A11="","",'Tableau'!A11)</f>
        <v/>
      </c>
      <c r="B8" s="60">
        <f>IF('Tableau'!B11="","",'Tableau'!B11)</f>
        <v/>
      </c>
      <c r="C8" s="60" t="n">
        <v>1</v>
      </c>
      <c r="D8" s="60">
        <f>IF('Tableau'!F11="","",'Tableau'!F11)</f>
        <v/>
      </c>
      <c r="E8" s="60">
        <f>IF('Tableau'!G11="","",'Tableau'!G11)</f>
        <v/>
      </c>
      <c r="F8" s="60">
        <f>IF('Tableau'!H11="","",'Tableau'!H11)</f>
        <v/>
      </c>
      <c r="G8" s="60">
        <f>IF('Tableau'!I11="","",'Tableau'!I11)</f>
        <v/>
      </c>
      <c r="H8" s="60">
        <f>IF('Tableau'!J11="","",'Tableau'!J11)</f>
        <v/>
      </c>
      <c r="I8" s="60">
        <f>IF('Tableau'!K11="","",'Tableau'!K11)</f>
        <v/>
      </c>
      <c r="J8" s="60">
        <f>IF('Tableau'!L11="","",'Tableau'!L11)</f>
        <v/>
      </c>
      <c r="K8" s="60">
        <f>IF('Tableau'!M11="","",'Tableau'!M11)</f>
        <v/>
      </c>
      <c r="L8" s="60">
        <f>'Tableau'!M2</f>
        <v/>
      </c>
      <c r="M8" s="60" t="inlineStr"/>
    </row>
    <row r="9" ht="18" customHeight="1">
      <c r="A9" s="60">
        <f>IF('Tableau'!A12="","",'Tableau'!A12)</f>
        <v/>
      </c>
      <c r="B9" s="60">
        <f>IF('Tableau'!B12="","",'Tableau'!B12)</f>
        <v/>
      </c>
      <c r="C9" s="60" t="n">
        <v>1</v>
      </c>
      <c r="D9" s="60">
        <f>IF('Tableau'!F12="","",'Tableau'!F12)</f>
        <v/>
      </c>
      <c r="E9" s="60">
        <f>IF('Tableau'!G12="","",'Tableau'!G12)</f>
        <v/>
      </c>
      <c r="F9" s="60">
        <f>IF('Tableau'!H12="","",'Tableau'!H12)</f>
        <v/>
      </c>
      <c r="G9" s="60">
        <f>IF('Tableau'!I12="","",'Tableau'!I12)</f>
        <v/>
      </c>
      <c r="H9" s="60">
        <f>IF('Tableau'!J12="","",'Tableau'!J12)</f>
        <v/>
      </c>
      <c r="I9" s="60">
        <f>IF('Tableau'!K12="","",'Tableau'!K12)</f>
        <v/>
      </c>
      <c r="J9" s="60">
        <f>IF('Tableau'!L12="","",'Tableau'!L12)</f>
        <v/>
      </c>
      <c r="K9" s="60">
        <f>IF('Tableau'!M12="","",'Tableau'!M12)</f>
        <v/>
      </c>
      <c r="L9" s="60">
        <f>'Tableau'!M2</f>
        <v/>
      </c>
      <c r="M9" s="60" t="inlineStr"/>
    </row>
    <row r="10" ht="18" customHeight="1">
      <c r="A10" s="60">
        <f>IF('Tableau'!A13="","",'Tableau'!A13)</f>
        <v/>
      </c>
      <c r="B10" s="60">
        <f>IF('Tableau'!B13="","",'Tableau'!B13)</f>
        <v/>
      </c>
      <c r="C10" s="60" t="n">
        <v>1</v>
      </c>
      <c r="D10" s="60">
        <f>IF('Tableau'!F13="","",'Tableau'!F13)</f>
        <v/>
      </c>
      <c r="E10" s="60">
        <f>IF('Tableau'!G13="","",'Tableau'!G13)</f>
        <v/>
      </c>
      <c r="F10" s="60">
        <f>IF('Tableau'!H13="","",'Tableau'!H13)</f>
        <v/>
      </c>
      <c r="G10" s="60">
        <f>IF('Tableau'!I13="","",'Tableau'!I13)</f>
        <v/>
      </c>
      <c r="H10" s="60">
        <f>IF('Tableau'!J13="","",'Tableau'!J13)</f>
        <v/>
      </c>
      <c r="I10" s="60">
        <f>IF('Tableau'!K13="","",'Tableau'!K13)</f>
        <v/>
      </c>
      <c r="J10" s="60">
        <f>IF('Tableau'!L13="","",'Tableau'!L13)</f>
        <v/>
      </c>
      <c r="K10" s="60">
        <f>IF('Tableau'!M13="","",'Tableau'!M13)</f>
        <v/>
      </c>
      <c r="L10" s="60">
        <f>'Tableau'!M2</f>
        <v/>
      </c>
      <c r="M10" s="60" t="inlineStr"/>
    </row>
    <row r="11" ht="18" customHeight="1">
      <c r="A11" s="60">
        <f>IF('Tableau'!A14="","",'Tableau'!A14)</f>
        <v/>
      </c>
      <c r="B11" s="60">
        <f>IF('Tableau'!B14="","",'Tableau'!B14)</f>
        <v/>
      </c>
      <c r="C11" s="60" t="n">
        <v>1</v>
      </c>
      <c r="D11" s="60">
        <f>IF('Tableau'!F14="","",'Tableau'!F14)</f>
        <v/>
      </c>
      <c r="E11" s="60">
        <f>IF('Tableau'!G14="","",'Tableau'!G14)</f>
        <v/>
      </c>
      <c r="F11" s="60">
        <f>IF('Tableau'!H14="","",'Tableau'!H14)</f>
        <v/>
      </c>
      <c r="G11" s="60">
        <f>IF('Tableau'!I14="","",'Tableau'!I14)</f>
        <v/>
      </c>
      <c r="H11" s="60">
        <f>IF('Tableau'!J14="","",'Tableau'!J14)</f>
        <v/>
      </c>
      <c r="I11" s="60">
        <f>IF('Tableau'!K14="","",'Tableau'!K14)</f>
        <v/>
      </c>
      <c r="J11" s="60">
        <f>IF('Tableau'!L14="","",'Tableau'!L14)</f>
        <v/>
      </c>
      <c r="K11" s="60">
        <f>IF('Tableau'!M14="","",'Tableau'!M14)</f>
        <v/>
      </c>
      <c r="L11" s="60">
        <f>'Tableau'!M2</f>
        <v/>
      </c>
      <c r="M11" s="60" t="inlineStr"/>
    </row>
    <row r="12" ht="18" customHeight="1">
      <c r="A12" s="60">
        <f>IF('Tableau'!A15="","",'Tableau'!A15)</f>
        <v/>
      </c>
      <c r="B12" s="60">
        <f>IF('Tableau'!B15="","",'Tableau'!B15)</f>
        <v/>
      </c>
      <c r="C12" s="60" t="n">
        <v>1</v>
      </c>
      <c r="D12" s="60">
        <f>IF('Tableau'!F15="","",'Tableau'!F15)</f>
        <v/>
      </c>
      <c r="E12" s="60">
        <f>IF('Tableau'!G15="","",'Tableau'!G15)</f>
        <v/>
      </c>
      <c r="F12" s="60">
        <f>IF('Tableau'!H15="","",'Tableau'!H15)</f>
        <v/>
      </c>
      <c r="G12" s="60">
        <f>IF('Tableau'!I15="","",'Tableau'!I15)</f>
        <v/>
      </c>
      <c r="H12" s="60">
        <f>IF('Tableau'!J15="","",'Tableau'!J15)</f>
        <v/>
      </c>
      <c r="I12" s="60">
        <f>IF('Tableau'!K15="","",'Tableau'!K15)</f>
        <v/>
      </c>
      <c r="J12" s="60">
        <f>IF('Tableau'!L15="","",'Tableau'!L15)</f>
        <v/>
      </c>
      <c r="K12" s="60">
        <f>IF('Tableau'!M15="","",'Tableau'!M15)</f>
        <v/>
      </c>
      <c r="L12" s="60">
        <f>'Tableau'!M2</f>
        <v/>
      </c>
      <c r="M12" s="60" t="inlineStr"/>
    </row>
    <row r="13" ht="18" customHeight="1">
      <c r="A13" s="60">
        <f>IF('Tableau'!A16="","",'Tableau'!A16)</f>
        <v/>
      </c>
      <c r="B13" s="60">
        <f>IF('Tableau'!B16="","",'Tableau'!B16)</f>
        <v/>
      </c>
      <c r="C13" s="60" t="n">
        <v>1</v>
      </c>
      <c r="D13" s="60">
        <f>IF('Tableau'!F16="","",'Tableau'!F16)</f>
        <v/>
      </c>
      <c r="E13" s="60">
        <f>IF('Tableau'!G16="","",'Tableau'!G16)</f>
        <v/>
      </c>
      <c r="F13" s="60">
        <f>IF('Tableau'!H16="","",'Tableau'!H16)</f>
        <v/>
      </c>
      <c r="G13" s="60">
        <f>IF('Tableau'!I16="","",'Tableau'!I16)</f>
        <v/>
      </c>
      <c r="H13" s="60">
        <f>IF('Tableau'!J16="","",'Tableau'!J16)</f>
        <v/>
      </c>
      <c r="I13" s="60">
        <f>IF('Tableau'!K16="","",'Tableau'!K16)</f>
        <v/>
      </c>
      <c r="J13" s="60">
        <f>IF('Tableau'!L16="","",'Tableau'!L16)</f>
        <v/>
      </c>
      <c r="K13" s="60">
        <f>IF('Tableau'!M16="","",'Tableau'!M16)</f>
        <v/>
      </c>
      <c r="L13" s="60">
        <f>'Tableau'!M2</f>
        <v/>
      </c>
      <c r="M13" s="60" t="inlineStr"/>
    </row>
    <row r="14" ht="18" customHeight="1">
      <c r="A14" s="60">
        <f>IF('Tableau'!A19="","",'Tableau'!A19)</f>
        <v/>
      </c>
      <c r="B14" s="60">
        <f>IF('Tableau'!B19="","",'Tableau'!B19)</f>
        <v/>
      </c>
      <c r="C14" s="60" t="n">
        <v>1</v>
      </c>
      <c r="D14" s="60">
        <f>IF('Tableau'!F19="","",'Tableau'!F19)</f>
        <v/>
      </c>
      <c r="E14" s="60">
        <f>IF('Tableau'!G19="","",'Tableau'!G19)</f>
        <v/>
      </c>
      <c r="F14" s="60">
        <f>IF('Tableau'!H19="","",'Tableau'!H19)</f>
        <v/>
      </c>
      <c r="G14" s="60">
        <f>IF('Tableau'!I19="","",'Tableau'!I19)</f>
        <v/>
      </c>
      <c r="H14" s="60">
        <f>IF('Tableau'!J19="","",'Tableau'!J19)</f>
        <v/>
      </c>
      <c r="I14" s="60">
        <f>IF('Tableau'!K19="","",'Tableau'!K19)</f>
        <v/>
      </c>
      <c r="J14" s="60">
        <f>IF('Tableau'!L19="","",'Tableau'!L19)</f>
        <v/>
      </c>
      <c r="K14" s="60">
        <f>IF('Tableau'!M19="","",'Tableau'!M19)</f>
        <v/>
      </c>
      <c r="L14" s="60">
        <f>'Tableau'!M2</f>
        <v/>
      </c>
      <c r="M14" s="60" t="inlineStr"/>
    </row>
    <row r="15" ht="18" customHeight="1">
      <c r="A15" s="60">
        <f>IF('Tableau'!A20="","",'Tableau'!A20)</f>
        <v/>
      </c>
      <c r="B15" s="60">
        <f>IF('Tableau'!B20="","",'Tableau'!B20)</f>
        <v/>
      </c>
      <c r="C15" s="60" t="n">
        <v>1</v>
      </c>
      <c r="D15" s="60">
        <f>IF('Tableau'!F20="","",'Tableau'!F20)</f>
        <v/>
      </c>
      <c r="E15" s="60">
        <f>IF('Tableau'!G20="","",'Tableau'!G20)</f>
        <v/>
      </c>
      <c r="F15" s="60">
        <f>IF('Tableau'!H20="","",'Tableau'!H20)</f>
        <v/>
      </c>
      <c r="G15" s="60">
        <f>IF('Tableau'!I20="","",'Tableau'!I20)</f>
        <v/>
      </c>
      <c r="H15" s="60">
        <f>IF('Tableau'!J20="","",'Tableau'!J20)</f>
        <v/>
      </c>
      <c r="I15" s="60">
        <f>IF('Tableau'!K20="","",'Tableau'!K20)</f>
        <v/>
      </c>
      <c r="J15" s="60">
        <f>IF('Tableau'!L20="","",'Tableau'!L20)</f>
        <v/>
      </c>
      <c r="K15" s="60">
        <f>IF('Tableau'!M20="","",'Tableau'!M20)</f>
        <v/>
      </c>
      <c r="L15" s="60">
        <f>'Tableau'!M2</f>
        <v/>
      </c>
      <c r="M15" s="60" t="inlineStr"/>
    </row>
    <row r="16" ht="18" customHeight="1">
      <c r="A16" s="60">
        <f>IF('Tableau'!A21="","",'Tableau'!A21)</f>
        <v/>
      </c>
      <c r="B16" s="60">
        <f>IF('Tableau'!B21="","",'Tableau'!B21)</f>
        <v/>
      </c>
      <c r="C16" s="60" t="n">
        <v>1</v>
      </c>
      <c r="D16" s="60">
        <f>IF('Tableau'!F21="","",'Tableau'!F21)</f>
        <v/>
      </c>
      <c r="E16" s="60">
        <f>IF('Tableau'!G21="","",'Tableau'!G21)</f>
        <v/>
      </c>
      <c r="F16" s="60">
        <f>IF('Tableau'!H21="","",'Tableau'!H21)</f>
        <v/>
      </c>
      <c r="G16" s="60">
        <f>IF('Tableau'!I21="","",'Tableau'!I21)</f>
        <v/>
      </c>
      <c r="H16" s="60">
        <f>IF('Tableau'!J21="","",'Tableau'!J21)</f>
        <v/>
      </c>
      <c r="I16" s="60">
        <f>IF('Tableau'!K21="","",'Tableau'!K21)</f>
        <v/>
      </c>
      <c r="J16" s="60">
        <f>IF('Tableau'!L21="","",'Tableau'!L21)</f>
        <v/>
      </c>
      <c r="K16" s="60">
        <f>IF('Tableau'!M21="","",'Tableau'!M21)</f>
        <v/>
      </c>
      <c r="L16" s="60">
        <f>'Tableau'!M2</f>
        <v/>
      </c>
      <c r="M16" s="60" t="inlineStr"/>
    </row>
    <row r="17" ht="18" customHeight="1">
      <c r="A17" s="60">
        <f>IF('Tableau'!A22="","",'Tableau'!A22)</f>
        <v/>
      </c>
      <c r="B17" s="60">
        <f>IF('Tableau'!B22="","",'Tableau'!B22)</f>
        <v/>
      </c>
      <c r="C17" s="60" t="n">
        <v>1</v>
      </c>
      <c r="D17" s="60">
        <f>IF('Tableau'!F22="","",'Tableau'!F22)</f>
        <v/>
      </c>
      <c r="E17" s="60">
        <f>IF('Tableau'!G22="","",'Tableau'!G22)</f>
        <v/>
      </c>
      <c r="F17" s="60">
        <f>IF('Tableau'!H22="","",'Tableau'!H22)</f>
        <v/>
      </c>
      <c r="G17" s="60">
        <f>IF('Tableau'!I22="","",'Tableau'!I22)</f>
        <v/>
      </c>
      <c r="H17" s="60">
        <f>IF('Tableau'!J22="","",'Tableau'!J22)</f>
        <v/>
      </c>
      <c r="I17" s="60">
        <f>IF('Tableau'!K22="","",'Tableau'!K22)</f>
        <v/>
      </c>
      <c r="J17" s="60">
        <f>IF('Tableau'!L22="","",'Tableau'!L22)</f>
        <v/>
      </c>
      <c r="K17" s="60">
        <f>IF('Tableau'!M22="","",'Tableau'!M22)</f>
        <v/>
      </c>
      <c r="L17" s="60">
        <f>'Tableau'!M2</f>
        <v/>
      </c>
      <c r="M17" s="60" t="inlineStr"/>
    </row>
    <row r="18" ht="18" customHeight="1">
      <c r="A18" s="60">
        <f>IF('Tableau'!A23="","",'Tableau'!A23)</f>
        <v/>
      </c>
      <c r="B18" s="60">
        <f>IF('Tableau'!B23="","",'Tableau'!B23)</f>
        <v/>
      </c>
      <c r="C18" s="60" t="n">
        <v>1</v>
      </c>
      <c r="D18" s="60">
        <f>IF('Tableau'!F23="","",'Tableau'!F23)</f>
        <v/>
      </c>
      <c r="E18" s="60">
        <f>IF('Tableau'!G23="","",'Tableau'!G23)</f>
        <v/>
      </c>
      <c r="F18" s="60">
        <f>IF('Tableau'!H23="","",'Tableau'!H23)</f>
        <v/>
      </c>
      <c r="G18" s="60">
        <f>IF('Tableau'!I23="","",'Tableau'!I23)</f>
        <v/>
      </c>
      <c r="H18" s="60">
        <f>IF('Tableau'!J23="","",'Tableau'!J23)</f>
        <v/>
      </c>
      <c r="I18" s="60">
        <f>IF('Tableau'!K23="","",'Tableau'!K23)</f>
        <v/>
      </c>
      <c r="J18" s="60">
        <f>IF('Tableau'!L23="","",'Tableau'!L23)</f>
        <v/>
      </c>
      <c r="K18" s="60">
        <f>IF('Tableau'!M23="","",'Tableau'!M23)</f>
        <v/>
      </c>
      <c r="L18" s="60">
        <f>'Tableau'!M2</f>
        <v/>
      </c>
      <c r="M18" s="60" t="inlineStr"/>
    </row>
    <row r="19" ht="18" customHeight="1">
      <c r="A19" s="60">
        <f>IF('Tableau'!A24="","",'Tableau'!A24)</f>
        <v/>
      </c>
      <c r="B19" s="60">
        <f>IF('Tableau'!B24="","",'Tableau'!B24)</f>
        <v/>
      </c>
      <c r="C19" s="60" t="n">
        <v>1</v>
      </c>
      <c r="D19" s="60">
        <f>IF('Tableau'!F24="","",'Tableau'!F24)</f>
        <v/>
      </c>
      <c r="E19" s="60">
        <f>IF('Tableau'!G24="","",'Tableau'!G24)</f>
        <v/>
      </c>
      <c r="F19" s="60">
        <f>IF('Tableau'!H24="","",'Tableau'!H24)</f>
        <v/>
      </c>
      <c r="G19" s="60">
        <f>IF('Tableau'!I24="","",'Tableau'!I24)</f>
        <v/>
      </c>
      <c r="H19" s="60">
        <f>IF('Tableau'!J24="","",'Tableau'!J24)</f>
        <v/>
      </c>
      <c r="I19" s="60">
        <f>IF('Tableau'!K24="","",'Tableau'!K24)</f>
        <v/>
      </c>
      <c r="J19" s="60">
        <f>IF('Tableau'!L24="","",'Tableau'!L24)</f>
        <v/>
      </c>
      <c r="K19" s="60">
        <f>IF('Tableau'!M24="","",'Tableau'!M24)</f>
        <v/>
      </c>
      <c r="L19" s="60">
        <f>'Tableau'!M2</f>
        <v/>
      </c>
      <c r="M19" s="60" t="inlineStr"/>
    </row>
    <row r="21">
      <c r="A21" s="55" t="inlineStr">
        <is>
          <t>Hinweis: Dieses Blatt als CSV speichern. Falls ClubCloud den Import ablehnt, CSV ohne UTF-8-BOM speichern.</t>
        </is>
      </c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5" t="n"/>
    </row>
  </sheetData>
  <mergeCells count="1">
    <mergeCell ref="A21:M2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MartinWitt</dc:creator>
  <dc:title xmlns:dc="http://purl.org/dc/elements/1.1/">6er Endrunde</dc:title>
  <dc:subject xmlns:dc="http://purl.org/dc/elements/1.1/">Tableau &amp; Ansetzung</dc:subject>
  <dcterms:created xmlns:dcterms="http://purl.org/dc/terms/" xmlns:xsi="http://www.w3.org/2001/XMLSchema-instance" xsi:type="dcterms:W3CDTF">1999-09-29T12:14:55Z</dcterms:created>
  <dcterms:modified xmlns:dcterms="http://purl.org/dc/terms/" xmlns:xsi="http://www.w3.org/2001/XMLSchema-instance" xsi:type="dcterms:W3CDTF">2026-08-16T17:36:06Z</dcterms:modified>
  <cp:lastModifiedBy>Hans Benkert</cp:lastModifiedBy>
  <cp:revision>0</cp:revision>
  <cp:lastPrinted>2008-02-17T10:52:47Z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i4 xmlns:vt="http://schemas.openxmlformats.org/officeDocument/2006/docPropsVTypes">-973240657</vt:i4>
  </property>
  <property name="_AuthorEmail" fmtid="{D5CDD505-2E9C-101B-9397-08002B2CF9AE}" pid="3">
    <vt:lpwstr xmlns:vt="http://schemas.openxmlformats.org/officeDocument/2006/docPropsVTypes">nbv-sportwart@billard-hamburg.de</vt:lpwstr>
  </property>
  <property name="_AuthorEmailDisplayName" fmtid="{D5CDD505-2E9C-101B-9397-08002B2CF9AE}" pid="4">
    <vt:lpwstr xmlns:vt="http://schemas.openxmlformats.org/officeDocument/2006/docPropsVTypes">NBV Sportwart</vt:lpwstr>
  </property>
  <property name="_EmailSubject" fmtid="{D5CDD505-2E9C-101B-9397-08002B2CF9AE}" pid="5">
    <vt:lpwstr xmlns:vt="http://schemas.openxmlformats.org/officeDocument/2006/docPropsVTypes">Turnierprotokolle für Meisterschaften</vt:lpwstr>
  </property>
  <property name="_ReviewingToolsShownOnce" fmtid="{D5CDD505-2E9C-101B-9397-08002B2CF9AE}" pid="6">
    <vt:lpwstr xmlns:vt="http://schemas.openxmlformats.org/officeDocument/2006/docPropsVTypes"/>
  </property>
</Properties>
</file>