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68" firstSheet="0" activeTab="0" autoFilterDateGrouping="1"/>
  </bookViews>
  <sheets>
    <sheet xmlns:r="http://schemas.openxmlformats.org/officeDocument/2006/relationships" name="Tableau" sheetId="1" state="visible" r:id="rId1"/>
    <sheet xmlns:r="http://schemas.openxmlformats.org/officeDocument/2006/relationships" name="Teilnehmer" sheetId="2" state="visible" r:id="rId2"/>
    <sheet xmlns:r="http://schemas.openxmlformats.org/officeDocument/2006/relationships" name="CSV Export" sheetId="3" state="visible" r:id="rId3"/>
  </sheets>
  <definedNames>
    <definedName name="_xlnm.Print_Area" localSheetId="0">'Tableau'!$A$1:$O$44</definedName>
    <definedName name="_xlnm.Print_Area" localSheetId="1">'Teilnehmer'!$A$1:$F$11</definedName>
    <definedName name="_xlnm.Print_Area" localSheetId="2">'CSV Export'!$A$1:$M$21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dd.mm.yyyy"/>
  </numFmts>
  <fonts count="11">
    <font>
      <name val="Arial"/>
      <family val="2"/>
      <sz val="10"/>
    </font>
    <font>
      <name val="Arial"/>
      <family val="2"/>
      <color indexed="12"/>
      <sz val="10"/>
      <u val="single"/>
    </font>
    <font>
      <name val="Arial"/>
      <family val="2"/>
      <b val="1"/>
      <sz val="10"/>
    </font>
    <font>
      <name val="Bookman Old Style"/>
      <family val="1"/>
      <b val="1"/>
      <sz val="20"/>
      <u val="single"/>
    </font>
    <font>
      <name val="Times New Roman"/>
      <family val="1"/>
      <b val="1"/>
      <sz val="20"/>
      <u val="single"/>
    </font>
    <font>
      <name val="Arial"/>
      <family val="2"/>
      <b val="1"/>
      <sz val="9"/>
    </font>
    <font>
      <name val="Arial"/>
      <family val="2"/>
      <b val="1"/>
      <color indexed="9"/>
      <sz val="10"/>
    </font>
    <font>
      <name val="Arial"/>
      <family val="2"/>
      <color indexed="9"/>
      <sz val="10"/>
    </font>
    <font>
      <name val="Arial"/>
      <family val="2"/>
      <b val="1"/>
      <sz val="20"/>
    </font>
    <font>
      <b val="1"/>
      <color rgb="00FFFFFF"/>
    </font>
    <font>
      <i val="1"/>
      <color rgb="00666666"/>
    </font>
  </fonts>
  <fills count="8">
    <fill>
      <patternFill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1F2937"/>
      </patternFill>
    </fill>
    <fill>
      <patternFill patternType="solid">
        <fgColor rgb="00E2F0D9"/>
      </patternFill>
    </fill>
    <fill>
      <patternFill patternType="solid">
        <fgColor rgb="00BFBFBF"/>
      </patternFill>
    </fill>
  </fills>
  <borders count="30">
    <border>
      <left/>
      <right/>
      <top/>
      <bottom/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</borders>
  <cellStyleXfs count="2">
    <xf numFmtId="0" fontId="0" fillId="0" borderId="0"/>
    <xf numFmtId="0" fontId="1" fillId="0" borderId="0"/>
  </cellStyleXfs>
  <cellXfs count="8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justify" vertical="center"/>
    </xf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top"/>
    </xf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0" fillId="0" borderId="6" applyAlignment="1" applyProtection="1" pivotButton="0" quotePrefix="0" xfId="0">
      <alignment horizontal="center" vertical="center"/>
      <protection locked="0" hidden="0"/>
    </xf>
    <xf numFmtId="164" fontId="0" fillId="0" borderId="3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164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164" fontId="0" fillId="0" borderId="11" applyAlignment="1" applyProtection="1" pivotButton="0" quotePrefix="0" xfId="0">
      <alignment horizontal="center" vertical="center"/>
      <protection locked="0" hidden="0"/>
    </xf>
    <xf numFmtId="2" fontId="0" fillId="0" borderId="9" applyAlignment="1" applyProtection="1" pivotButton="0" quotePrefix="0" xfId="0">
      <alignment horizontal="center" vertical="center"/>
      <protection locked="0" hidden="0"/>
    </xf>
    <xf numFmtId="2" fontId="0" fillId="0" borderId="11" applyAlignment="1" applyProtection="1" pivotButton="0" quotePrefix="0" xfId="0">
      <alignment horizontal="center" vertical="center"/>
      <protection locked="0" hidden="0"/>
    </xf>
    <xf numFmtId="164" fontId="0" fillId="0" borderId="8" applyAlignment="1" pivotButton="0" quotePrefix="0" xfId="0">
      <alignment horizontal="center" vertical="center"/>
    </xf>
    <xf numFmtId="0" fontId="7" fillId="0" borderId="0" pivotButton="0" quotePrefix="0" xfId="0"/>
    <xf numFmtId="2" fontId="0" fillId="0" borderId="12" applyAlignment="1" applyProtection="1" pivotButton="0" quotePrefix="0" xfId="0">
      <alignment horizontal="center" vertical="center"/>
      <protection locked="0" hidden="0"/>
    </xf>
    <xf numFmtId="0" fontId="0" fillId="3" borderId="13" applyAlignment="1" applyProtection="1" pivotButton="0" quotePrefix="0" xfId="0">
      <alignment horizontal="center" vertical="center"/>
      <protection locked="0" hidden="0"/>
    </xf>
    <xf numFmtId="0" fontId="0" fillId="3" borderId="14" applyAlignment="1" applyProtection="1" pivotButton="0" quotePrefix="0" xfId="0">
      <alignment horizontal="center" vertical="center"/>
      <protection locked="0" hidden="0"/>
    </xf>
    <xf numFmtId="0" fontId="0" fillId="3" borderId="4" applyAlignment="1" applyProtection="1" pivotButton="0" quotePrefix="0" xfId="0">
      <alignment horizontal="center" vertical="center"/>
      <protection locked="0" hidden="0"/>
    </xf>
    <xf numFmtId="0" fontId="0" fillId="3" borderId="6" applyAlignment="1" applyProtection="1" pivotButton="0" quotePrefix="0" xfId="0">
      <alignment horizontal="center" vertical="center"/>
      <protection locked="0" hidden="0"/>
    </xf>
    <xf numFmtId="0" fontId="0" fillId="4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right" vertical="center"/>
      <protection locked="0" hidden="0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2" fillId="0" borderId="0" applyAlignment="1" applyProtection="1" pivotButton="0" quotePrefix="0" xfId="0">
      <alignment horizontal="right" vertical="top"/>
      <protection locked="0" hidden="0"/>
    </xf>
    <xf numFmtId="0" fontId="8" fillId="3" borderId="0" pivotButton="0" quotePrefix="0" xfId="0"/>
    <xf numFmtId="0" fontId="0" fillId="3" borderId="0" pivotButton="0" quotePrefix="0" xfId="0"/>
    <xf numFmtId="0" fontId="2" fillId="0" borderId="15" applyAlignment="1" applyProtection="1" pivotButton="0" quotePrefix="0" xfId="0">
      <alignment horizontal="center" vertical="center"/>
      <protection locked="0" hidden="0"/>
    </xf>
    <xf numFmtId="0" fontId="0" fillId="2" borderId="15" applyAlignment="1" pivotButton="0" quotePrefix="0" xfId="0">
      <alignment horizontal="center" vertical="center"/>
    </xf>
    <xf numFmtId="0" fontId="2" fillId="3" borderId="0" applyAlignment="1" applyProtection="1" pivotButton="0" quotePrefix="0" xfId="0">
      <alignment horizontal="center" vertical="center"/>
      <protection locked="0" hidden="0"/>
    </xf>
    <xf numFmtId="0" fontId="4" fillId="0" borderId="17" applyAlignment="1" pivotButton="0" quotePrefix="0" xfId="0">
      <alignment horizontal="center" vertical="top"/>
    </xf>
    <xf numFmtId="14" fontId="2" fillId="0" borderId="17" applyAlignment="1" pivotButton="0" quotePrefix="0" xfId="0">
      <alignment horizontal="center" vertical="top"/>
    </xf>
    <xf numFmtId="0" fontId="4" fillId="3" borderId="16" applyAlignment="1" applyProtection="1" pivotButton="0" quotePrefix="0" xfId="0">
      <alignment horizontal="center"/>
      <protection locked="0" hidden="0"/>
    </xf>
    <xf numFmtId="0" fontId="2" fillId="3" borderId="2" applyAlignment="1" applyProtection="1" pivotButton="0" quotePrefix="0" xfId="0">
      <alignment horizontal="center" vertical="center"/>
      <protection locked="0" hidden="0"/>
    </xf>
    <xf numFmtId="0" fontId="0" fillId="2" borderId="5" applyAlignment="1" applyProtection="1" pivotButton="0" quotePrefix="0" xfId="0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pivotButton="0" quotePrefix="0" xfId="0"/>
    <xf numFmtId="0" fontId="0" fillId="0" borderId="22" applyProtection="1" pivotButton="0" quotePrefix="0" xfId="0">
      <protection locked="0" hidden="0"/>
    </xf>
    <xf numFmtId="0" fontId="0" fillId="0" borderId="20" pivotButton="0" quotePrefix="0" xfId="0"/>
    <xf numFmtId="0" fontId="0" fillId="0" borderId="20" applyProtection="1" pivotButton="0" quotePrefix="0" xfId="0">
      <protection locked="0" hidden="0"/>
    </xf>
    <xf numFmtId="0" fontId="9" fillId="5" borderId="0" applyAlignment="1" pivotButton="0" quotePrefix="0" xfId="0">
      <alignment horizontal="center"/>
    </xf>
    <xf numFmtId="0" fontId="0" fillId="0" borderId="23" applyAlignment="1" pivotButton="0" quotePrefix="0" xfId="0">
      <alignment vertical="center"/>
    </xf>
    <xf numFmtId="0" fontId="0" fillId="6" borderId="23" applyAlignment="1" pivotButton="0" quotePrefix="0" xfId="0">
      <alignment vertical="center"/>
    </xf>
    <xf numFmtId="0" fontId="10" fillId="0" borderId="0" pivotButton="0" quotePrefix="0" xfId="0"/>
    <xf numFmtId="0" fontId="9" fillId="5" borderId="23" applyAlignment="1" pivotButton="0" quotePrefix="0" xfId="0">
      <alignment horizontal="center" vertical="center" wrapText="1"/>
    </xf>
    <xf numFmtId="165" fontId="2" fillId="3" borderId="0" applyAlignment="1" applyProtection="1" pivotButton="0" quotePrefix="0" xfId="0">
      <alignment horizontal="center" vertical="center"/>
      <protection locked="0" hidden="0"/>
    </xf>
    <xf numFmtId="0" fontId="0" fillId="0" borderId="28" pivotButton="0" quotePrefix="0" xfId="0"/>
    <xf numFmtId="0" fontId="2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 wrapText="1"/>
    </xf>
    <xf numFmtId="0" fontId="5" fillId="0" borderId="29" applyAlignment="1" pivotButton="0" quotePrefix="0" xfId="0">
      <alignment horizontal="center" vertical="center" wrapText="1"/>
    </xf>
    <xf numFmtId="0" fontId="2" fillId="7" borderId="29" applyAlignment="1" pivotButton="0" quotePrefix="0" xfId="0">
      <alignment horizontal="center" vertical="center" wrapText="1"/>
    </xf>
    <xf numFmtId="0" fontId="0" fillId="6" borderId="29" applyAlignment="1" applyProtection="1" pivotButton="0" quotePrefix="0" xfId="0">
      <alignment horizontal="center" vertical="center" wrapText="1"/>
      <protection locked="0" hidden="0"/>
    </xf>
    <xf numFmtId="0" fontId="0" fillId="0" borderId="29" applyAlignment="1" pivotButton="0" quotePrefix="0" xfId="0">
      <alignment horizontal="center" vertical="center" wrapText="1"/>
    </xf>
    <xf numFmtId="1" fontId="0" fillId="0" borderId="29" applyAlignment="1" pivotButton="0" quotePrefix="0" xfId="0">
      <alignment horizontal="center" vertical="center" wrapText="1"/>
    </xf>
    <xf numFmtId="164" fontId="0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2" borderId="29" applyAlignment="1" pivotButton="0" quotePrefix="0" xfId="0">
      <alignment horizontal="left" vertical="center" wrapText="1"/>
    </xf>
    <xf numFmtId="0" fontId="0" fillId="2" borderId="29" applyAlignment="1" pivotButton="0" quotePrefix="0" xfId="0">
      <alignment horizontal="center" vertical="center" wrapText="1"/>
    </xf>
    <xf numFmtId="0" fontId="0" fillId="6" borderId="29" applyAlignment="1" applyProtection="1" pivotButton="0" quotePrefix="0" xfId="0">
      <alignment horizontal="left" vertical="center" wrapText="1"/>
      <protection locked="0" hidden="0"/>
    </xf>
    <xf numFmtId="0" fontId="9" fillId="5" borderId="0" applyAlignment="1" pivotButton="0" quotePrefix="0" xfId="0">
      <alignment horizontal="center" vertical="center" wrapText="1"/>
    </xf>
    <xf numFmtId="0" fontId="0" fillId="0" borderId="23" applyAlignment="1" pivotButton="0" quotePrefix="0" xfId="0">
      <alignment horizontal="center" vertical="center" wrapText="1"/>
    </xf>
    <xf numFmtId="0" fontId="0" fillId="6" borderId="23" applyAlignment="1" pivotButton="0" quotePrefix="0" xfId="0">
      <alignment horizontal="left" vertical="center" wrapText="1"/>
    </xf>
    <xf numFmtId="0" fontId="0" fillId="6" borderId="23" applyAlignment="1" pivotButton="0" quotePrefix="0" xfId="0">
      <alignment horizontal="center" vertical="center" wrapText="1"/>
    </xf>
    <xf numFmtId="0" fontId="0" fillId="0" borderId="23" applyAlignment="1" pivotButton="0" quotePrefix="0" xfId="0">
      <alignment horizontal="left" vertical="center" wrapText="1"/>
    </xf>
    <xf numFmtId="0" fontId="0" fillId="0" borderId="26" pivotButton="0" quotePrefix="0" xfId="0"/>
    <xf numFmtId="0" fontId="0" fillId="0" borderId="27" pivotButton="0" quotePrefix="0" xfId="0"/>
  </cellXfs>
  <cellStyles count="2">
    <cellStyle name="Standard" xfId="0" builtinId="0"/>
    <cellStyle name="Hyperlink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13" customWidth="1" min="10" max="10"/>
    <col width="10" customWidth="1" min="11" max="11"/>
    <col width="10" customWidth="1" min="12" max="12"/>
    <col width="10" customWidth="1" min="13" max="13"/>
    <col width="8" customWidth="1" min="14" max="14"/>
    <col width="8" customWidth="1" min="15" max="15"/>
    <col hidden="1" width="10" customWidth="1" min="16" max="16"/>
  </cols>
  <sheetData>
    <row r="1" ht="22" customHeight="1">
      <c r="A1" s="2" t="inlineStr">
        <is>
          <t>2=gewonnen     1=unentschieden</t>
        </is>
      </c>
      <c r="B1" s="2" t="n"/>
      <c r="C1" s="2" t="n"/>
      <c r="D1" s="45" t="inlineStr"/>
      <c r="L1" s="2" t="n"/>
      <c r="M1" s="2" t="n"/>
      <c r="N1" s="35" t="inlineStr">
        <is>
          <t>Ausrichter :</t>
        </is>
      </c>
      <c r="O1" s="42" t="inlineStr">
        <is>
          <t>BGH</t>
        </is>
      </c>
      <c r="P1" s="2" t="n"/>
    </row>
    <row r="2" ht="22" customHeight="1">
      <c r="A2" s="2" t="inlineStr">
        <is>
          <t>0=verloren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35" t="inlineStr">
        <is>
          <t>Datum :</t>
        </is>
      </c>
      <c r="O2" s="59">
        <f>TODAY()</f>
        <v/>
      </c>
      <c r="P2" s="2" t="n"/>
    </row>
    <row r="3" ht="22" customHeight="1"/>
    <row r="4" ht="24" customHeight="1">
      <c r="A4" s="5" t="inlineStr">
        <is>
          <t>Gruppe 1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</row>
    <row r="5" ht="22" customHeight="1">
      <c r="A5" s="61" t="inlineStr">
        <is>
          <t>Name</t>
        </is>
      </c>
      <c r="B5" s="62">
        <f>IF('Teilnehmer'!B2="","",'Teilnehmer'!B2)</f>
        <v/>
      </c>
      <c r="C5" s="60" t="n"/>
      <c r="D5" s="62">
        <f>IF('Teilnehmer'!B5="","",'Teilnehmer'!B5)</f>
        <v/>
      </c>
      <c r="E5" s="60" t="n"/>
      <c r="F5" s="62">
        <f>IF('Teilnehmer'!B6="","",'Teilnehmer'!B6)</f>
        <v/>
      </c>
      <c r="G5" s="60" t="n"/>
      <c r="H5" s="62">
        <f>IF('Teilnehmer'!B9="","",'Teilnehmer'!B9)</f>
        <v/>
      </c>
      <c r="I5" s="60" t="n"/>
      <c r="J5" s="63" t="inlineStr">
        <is>
          <t>Partie-punkte</t>
        </is>
      </c>
      <c r="K5" s="63" t="inlineStr">
        <is>
          <t>Bälle</t>
        </is>
      </c>
      <c r="L5" s="63" t="inlineStr">
        <is>
          <t>Aufn.</t>
        </is>
      </c>
      <c r="M5" s="63" t="inlineStr">
        <is>
          <t>GD</t>
        </is>
      </c>
      <c r="N5" s="63" t="inlineStr">
        <is>
          <t>HS</t>
        </is>
      </c>
      <c r="O5" s="63" t="inlineStr">
        <is>
          <t>Platz</t>
        </is>
      </c>
    </row>
    <row r="6" ht="24" customHeight="1">
      <c r="A6" s="62">
        <f>IF('Teilnehmer'!B2="","",'Teilnehmer'!B2)</f>
        <v/>
      </c>
      <c r="B6" s="64" t="inlineStr">
        <is>
          <t>Bälle</t>
        </is>
      </c>
      <c r="C6" s="64" t="inlineStr">
        <is>
          <t>Aufn.</t>
        </is>
      </c>
      <c r="D6" s="65" t="n"/>
      <c r="E6" s="65" t="n"/>
      <c r="F6" s="65" t="n"/>
      <c r="G6" s="65" t="n"/>
      <c r="H6" s="65" t="n"/>
      <c r="I6" s="65" t="n"/>
      <c r="J6" s="66">
        <f>IF(COUNTA(D6,F6,H6)=0,"",SUM(D7,F7,H7))</f>
        <v/>
      </c>
      <c r="K6" s="67">
        <f>IF(J6="","",SUM(D6,F6,H6))</f>
        <v/>
      </c>
      <c r="L6" s="67">
        <f>IF(J6="","",SUM(E6,G6,I6))</f>
        <v/>
      </c>
      <c r="M6" s="68">
        <f>IF(L6&gt;0,TRUNC(K6/L6,3),"")</f>
        <v/>
      </c>
      <c r="N6" s="67">
        <f>IF(J6="","",MAX(E8,G8,I8))</f>
        <v/>
      </c>
      <c r="O6" s="67">
        <f>IF(J6="","",RANK(P6,($P$6,$P$9,$P$12,$P$15),0))</f>
        <v/>
      </c>
      <c r="P6">
        <f>IF(J6="","",J6*1000000+M6*1000+K6)</f>
        <v/>
      </c>
    </row>
    <row r="7" ht="24" customHeight="1">
      <c r="A7" s="69" t="n"/>
      <c r="B7" s="64" t="inlineStr">
        <is>
          <t>Partiepunkte</t>
        </is>
      </c>
      <c r="D7" s="66">
        <f>IF(OR(D6="",B9=""),"",IF(D6&gt;B9,2,IF(D6&lt;B9,0,1)))</f>
        <v/>
      </c>
      <c r="E7" s="69" t="n"/>
      <c r="F7" s="66">
        <f>IF(OR(F6="",B12=""),"",IF(F6&gt;B12,2,IF(F6&lt;B12,0,1)))</f>
        <v/>
      </c>
      <c r="G7" s="69" t="n"/>
      <c r="H7" s="66">
        <f>IF(OR(H6="",B15=""),"",IF(H6&gt;B15,2,IF(H6&lt;B15,0,1)))</f>
        <v/>
      </c>
      <c r="I7" s="69" t="n"/>
    </row>
    <row r="8" ht="24" customHeight="1">
      <c r="A8" s="69" t="n"/>
      <c r="B8" s="64" t="inlineStr">
        <is>
          <t>DS</t>
        </is>
      </c>
      <c r="C8" s="64" t="inlineStr">
        <is>
          <t>HS</t>
        </is>
      </c>
      <c r="D8" s="68">
        <f>IF(E6&gt;0,TRUNC(D6/E6,3),"")</f>
        <v/>
      </c>
      <c r="E8" s="65" t="n"/>
      <c r="F8" s="68">
        <f>IF(G6&gt;0,TRUNC(F6/G6,3),"")</f>
        <v/>
      </c>
      <c r="G8" s="65" t="n"/>
      <c r="H8" s="68">
        <f>IF(I6&gt;0,TRUNC(H6/I6,3),"")</f>
        <v/>
      </c>
      <c r="I8" s="65" t="n"/>
    </row>
    <row r="9" ht="24" customHeight="1">
      <c r="A9" s="62">
        <f>IF('Teilnehmer'!B5="","",'Teilnehmer'!B5)</f>
        <v/>
      </c>
      <c r="B9" s="65" t="n"/>
      <c r="C9" s="65" t="n"/>
      <c r="D9" s="64" t="inlineStr">
        <is>
          <t>Bälle</t>
        </is>
      </c>
      <c r="E9" s="64" t="inlineStr">
        <is>
          <t>Aufn.</t>
        </is>
      </c>
      <c r="F9" s="65" t="n"/>
      <c r="G9" s="65" t="n"/>
      <c r="H9" s="65" t="n"/>
      <c r="I9" s="65" t="n"/>
      <c r="J9" s="66">
        <f>IF(COUNTA(B9,F9,H9)=0,"",SUM(B10,F10,H10))</f>
        <v/>
      </c>
      <c r="K9" s="67">
        <f>IF(J9="","",SUM(B9,F9,H9))</f>
        <v/>
      </c>
      <c r="L9" s="67">
        <f>IF(J9="","",SUM(C9,G9,I9))</f>
        <v/>
      </c>
      <c r="M9" s="68">
        <f>IF(L9&gt;0,TRUNC(K9/L9,3),"")</f>
        <v/>
      </c>
      <c r="N9" s="67">
        <f>IF(J9="","",MAX(C11,G11,I11))</f>
        <v/>
      </c>
      <c r="O9" s="67">
        <f>IF(J9="","",RANK(P9,($P$6,$P$9,$P$12,$P$15),0))</f>
        <v/>
      </c>
      <c r="P9">
        <f>IF(J9="","",J9*1000000+M9*1000+K9)</f>
        <v/>
      </c>
    </row>
    <row r="10" ht="24" customHeight="1">
      <c r="A10" s="69" t="n"/>
      <c r="B10" s="66">
        <f>IF(OR(B9="",D6=""),"",IF(B9&gt;D6,2,IF(B9&lt;D6,0,1)))</f>
        <v/>
      </c>
      <c r="C10" s="69" t="n"/>
      <c r="D10" s="64" t="inlineStr">
        <is>
          <t>Partiepunkte</t>
        </is>
      </c>
      <c r="F10" s="66">
        <f>IF(OR(F9="",D12=""),"",IF(F9&gt;D12,2,IF(F9&lt;D12,0,1)))</f>
        <v/>
      </c>
      <c r="G10" s="69" t="n"/>
      <c r="H10" s="66">
        <f>IF(OR(H9="",D15=""),"",IF(H9&gt;D15,2,IF(H9&lt;D15,0,1)))</f>
        <v/>
      </c>
      <c r="I10" s="69" t="n"/>
    </row>
    <row r="11" ht="24" customHeight="1">
      <c r="A11" s="69" t="n"/>
      <c r="B11" s="68">
        <f>IF(C9&gt;0,TRUNC(B9/C9,3),"")</f>
        <v/>
      </c>
      <c r="C11" s="65" t="n"/>
      <c r="D11" s="64" t="inlineStr">
        <is>
          <t>DS</t>
        </is>
      </c>
      <c r="E11" s="64" t="inlineStr">
        <is>
          <t>HS</t>
        </is>
      </c>
      <c r="F11" s="68">
        <f>IF(G9&gt;0,TRUNC(F9/G9,3),"")</f>
        <v/>
      </c>
      <c r="G11" s="65" t="n"/>
      <c r="H11" s="68">
        <f>IF(I9&gt;0,TRUNC(H9/I9,3),"")</f>
        <v/>
      </c>
      <c r="I11" s="65" t="n"/>
    </row>
    <row r="12" ht="24" customHeight="1">
      <c r="A12" s="62">
        <f>IF('Teilnehmer'!B6="","",'Teilnehmer'!B6)</f>
        <v/>
      </c>
      <c r="B12" s="65" t="n"/>
      <c r="C12" s="65" t="n"/>
      <c r="D12" s="65" t="n"/>
      <c r="E12" s="65" t="n"/>
      <c r="F12" s="64" t="inlineStr">
        <is>
          <t>Bälle</t>
        </is>
      </c>
      <c r="G12" s="64" t="inlineStr">
        <is>
          <t>Aufn.</t>
        </is>
      </c>
      <c r="H12" s="65" t="n"/>
      <c r="I12" s="65" t="n"/>
      <c r="J12" s="66">
        <f>IF(COUNTA(B12,D12,H12)=0,"",SUM(B13,D13,H13))</f>
        <v/>
      </c>
      <c r="K12" s="67">
        <f>IF(J12="","",SUM(B12,D12,H12))</f>
        <v/>
      </c>
      <c r="L12" s="67">
        <f>IF(J12="","",SUM(C12,E12,I12))</f>
        <v/>
      </c>
      <c r="M12" s="68">
        <f>IF(L12&gt;0,TRUNC(K12/L12,3),"")</f>
        <v/>
      </c>
      <c r="N12" s="67">
        <f>IF(J12="","",MAX(C14,E14,I14))</f>
        <v/>
      </c>
      <c r="O12" s="67">
        <f>IF(J12="","",RANK(P12,($P$6,$P$9,$P$12,$P$15),0))</f>
        <v/>
      </c>
      <c r="P12">
        <f>IF(J12="","",J12*1000000+M12*1000+K12)</f>
        <v/>
      </c>
    </row>
    <row r="13" ht="24" customHeight="1">
      <c r="A13" s="69" t="n"/>
      <c r="B13" s="66">
        <f>IF(OR(B12="",F6=""),"",IF(B12&gt;F6,2,IF(B12&lt;F6,0,1)))</f>
        <v/>
      </c>
      <c r="C13" s="69" t="n"/>
      <c r="D13" s="66">
        <f>IF(OR(D12="",F9=""),"",IF(D12&gt;F9,2,IF(D12&lt;F9,0,1)))</f>
        <v/>
      </c>
      <c r="E13" s="69" t="n"/>
      <c r="F13" s="64" t="inlineStr">
        <is>
          <t>Partiepunkte</t>
        </is>
      </c>
      <c r="H13" s="66">
        <f>IF(OR(H12="",F15=""),"",IF(H12&gt;F15,2,IF(H12&lt;F15,0,1)))</f>
        <v/>
      </c>
      <c r="I13" s="69" t="n"/>
    </row>
    <row r="14" ht="24" customHeight="1">
      <c r="A14" s="69" t="n"/>
      <c r="B14" s="68">
        <f>IF(C12&gt;0,TRUNC(B12/C12,3),"")</f>
        <v/>
      </c>
      <c r="C14" s="65" t="n"/>
      <c r="D14" s="68">
        <f>IF(E12&gt;0,TRUNC(D12/E12,3),"")</f>
        <v/>
      </c>
      <c r="E14" s="65" t="n"/>
      <c r="F14" s="64" t="inlineStr">
        <is>
          <t>DS</t>
        </is>
      </c>
      <c r="G14" s="64" t="inlineStr">
        <is>
          <t>HS</t>
        </is>
      </c>
      <c r="H14" s="68">
        <f>IF(I12&gt;0,TRUNC(H12/I12,3),"")</f>
        <v/>
      </c>
      <c r="I14" s="65" t="n"/>
    </row>
    <row r="15" ht="24" customHeight="1">
      <c r="A15" s="62">
        <f>IF('Teilnehmer'!B9="","",'Teilnehmer'!B9)</f>
        <v/>
      </c>
      <c r="B15" s="65" t="n"/>
      <c r="C15" s="65" t="n"/>
      <c r="D15" s="65" t="n"/>
      <c r="E15" s="65" t="n"/>
      <c r="F15" s="65" t="n"/>
      <c r="G15" s="65" t="n"/>
      <c r="H15" s="64" t="inlineStr">
        <is>
          <t>Bälle</t>
        </is>
      </c>
      <c r="I15" s="64" t="inlineStr">
        <is>
          <t>Aufn.</t>
        </is>
      </c>
      <c r="J15" s="66">
        <f>IF(COUNTA(B15,D15,F15)=0,"",SUM(B16,D16,F16))</f>
        <v/>
      </c>
      <c r="K15" s="67">
        <f>IF(J15="","",SUM(B15,D15,F15))</f>
        <v/>
      </c>
      <c r="L15" s="67">
        <f>IF(J15="","",SUM(C15,E15,G15))</f>
        <v/>
      </c>
      <c r="M15" s="68">
        <f>IF(L15&gt;0,TRUNC(K15/L15,3),"")</f>
        <v/>
      </c>
      <c r="N15" s="67">
        <f>IF(J15="","",MAX(C17,E17,G17))</f>
        <v/>
      </c>
      <c r="O15" s="67">
        <f>IF(J15="","",RANK(P15,($P$6,$P$9,$P$12,$P$15),0))</f>
        <v/>
      </c>
      <c r="P15">
        <f>IF(J15="","",J15*1000000+M15*1000+K15)</f>
        <v/>
      </c>
    </row>
    <row r="16" ht="24" customHeight="1">
      <c r="A16" s="69" t="n"/>
      <c r="B16" s="66">
        <f>IF(OR(B15="",H6=""),"",IF(B15&gt;H6,2,IF(B15&lt;H6,0,1)))</f>
        <v/>
      </c>
      <c r="C16" s="69" t="n"/>
      <c r="D16" s="66">
        <f>IF(OR(D15="",H9=""),"",IF(D15&gt;H9,2,IF(D15&lt;H9,0,1)))</f>
        <v/>
      </c>
      <c r="E16" s="69" t="n"/>
      <c r="F16" s="66">
        <f>IF(OR(F15="",H12=""),"",IF(F15&gt;H12,2,IF(F15&lt;H12,0,1)))</f>
        <v/>
      </c>
      <c r="G16" s="69" t="n"/>
      <c r="H16" s="64" t="inlineStr">
        <is>
          <t>Partiepunkte</t>
        </is>
      </c>
    </row>
    <row r="17" ht="24" customHeight="1">
      <c r="A17" s="69" t="n"/>
      <c r="B17" s="68">
        <f>IF(C15&gt;0,TRUNC(B15/C15,3),"")</f>
        <v/>
      </c>
      <c r="C17" s="65" t="n"/>
      <c r="D17" s="68">
        <f>IF(E15&gt;0,TRUNC(D15/E15,3),"")</f>
        <v/>
      </c>
      <c r="E17" s="65" t="n"/>
      <c r="F17" s="68">
        <f>IF(G15&gt;0,TRUNC(F15/G15,3),"")</f>
        <v/>
      </c>
      <c r="G17" s="65" t="n"/>
      <c r="H17" s="64" t="inlineStr">
        <is>
          <t>DS</t>
        </is>
      </c>
      <c r="I17" s="64" t="inlineStr">
        <is>
          <t>HS</t>
        </is>
      </c>
    </row>
    <row r="18" ht="22" customHeight="1"/>
    <row r="19" ht="22" customHeight="1"/>
    <row r="20" ht="24" customHeight="1">
      <c r="A20" s="5" t="inlineStr">
        <is>
          <t>Gruppe 2</t>
        </is>
      </c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60" t="n"/>
      <c r="L20" s="60" t="n"/>
      <c r="M20" s="60" t="n"/>
      <c r="N20" s="60" t="n"/>
      <c r="O20" s="60" t="n"/>
    </row>
    <row r="21" ht="22" customHeight="1">
      <c r="A21" s="61" t="inlineStr">
        <is>
          <t>Name</t>
        </is>
      </c>
      <c r="B21" s="62">
        <f>IF('Teilnehmer'!B3="","",'Teilnehmer'!B3)</f>
        <v/>
      </c>
      <c r="C21" s="60" t="n"/>
      <c r="D21" s="62">
        <f>IF('Teilnehmer'!B4="","",'Teilnehmer'!B4)</f>
        <v/>
      </c>
      <c r="E21" s="60" t="n"/>
      <c r="F21" s="62">
        <f>IF('Teilnehmer'!B7="","",'Teilnehmer'!B7)</f>
        <v/>
      </c>
      <c r="G21" s="60" t="n"/>
      <c r="H21" s="62">
        <f>IF('Teilnehmer'!B8="","",'Teilnehmer'!B8)</f>
        <v/>
      </c>
      <c r="I21" s="60" t="n"/>
      <c r="J21" s="63" t="inlineStr">
        <is>
          <t>Partie-punkte</t>
        </is>
      </c>
      <c r="K21" s="63" t="inlineStr">
        <is>
          <t>Bälle</t>
        </is>
      </c>
      <c r="L21" s="63" t="inlineStr">
        <is>
          <t>Aufn.</t>
        </is>
      </c>
      <c r="M21" s="63" t="inlineStr">
        <is>
          <t>GD</t>
        </is>
      </c>
      <c r="N21" s="63" t="inlineStr">
        <is>
          <t>HS</t>
        </is>
      </c>
      <c r="O21" s="63" t="inlineStr">
        <is>
          <t>Platz</t>
        </is>
      </c>
    </row>
    <row r="22" ht="24" customHeight="1">
      <c r="A22" s="62">
        <f>IF('Teilnehmer'!B3="","",'Teilnehmer'!B3)</f>
        <v/>
      </c>
      <c r="B22" s="64" t="inlineStr">
        <is>
          <t>Bälle</t>
        </is>
      </c>
      <c r="C22" s="64" t="inlineStr">
        <is>
          <t>Aufn.</t>
        </is>
      </c>
      <c r="D22" s="65" t="n"/>
      <c r="E22" s="65" t="n"/>
      <c r="F22" s="65" t="n"/>
      <c r="G22" s="65" t="n"/>
      <c r="H22" s="65" t="n"/>
      <c r="I22" s="65" t="n"/>
      <c r="J22" s="66">
        <f>IF(COUNTA(D22,F22,H22)=0,"",SUM(D23,F23,H23))</f>
        <v/>
      </c>
      <c r="K22" s="67">
        <f>IF(J22="","",SUM(D22,F22,H22))</f>
        <v/>
      </c>
      <c r="L22" s="67">
        <f>IF(J22="","",SUM(E22,G22,I22))</f>
        <v/>
      </c>
      <c r="M22" s="68">
        <f>IF(L22&gt;0,TRUNC(K22/L22,3),"")</f>
        <v/>
      </c>
      <c r="N22" s="67">
        <f>IF(J22="","",MAX(E24,G24,I24))</f>
        <v/>
      </c>
      <c r="O22" s="67">
        <f>IF(J22="","",RANK(P22,($P$22,$P$25,$P$28,$P$31),0))</f>
        <v/>
      </c>
      <c r="P22">
        <f>IF(J22="","",J22*1000000+M22*1000+K22)</f>
        <v/>
      </c>
    </row>
    <row r="23" ht="24" customHeight="1">
      <c r="A23" s="69" t="n"/>
      <c r="B23" s="64" t="inlineStr">
        <is>
          <t>Partiepunkte</t>
        </is>
      </c>
      <c r="D23" s="66">
        <f>IF(OR(D22="",B25=""),"",IF(D22&gt;B25,2,IF(D22&lt;B25,0,1)))</f>
        <v/>
      </c>
      <c r="E23" s="69" t="n"/>
      <c r="F23" s="66">
        <f>IF(OR(F22="",B28=""),"",IF(F22&gt;B28,2,IF(F22&lt;B28,0,1)))</f>
        <v/>
      </c>
      <c r="G23" s="69" t="n"/>
      <c r="H23" s="66">
        <f>IF(OR(H22="",B31=""),"",IF(H22&gt;B31,2,IF(H22&lt;B31,0,1)))</f>
        <v/>
      </c>
      <c r="I23" s="69" t="n"/>
    </row>
    <row r="24" ht="24" customHeight="1">
      <c r="A24" s="69" t="n"/>
      <c r="B24" s="64" t="inlineStr">
        <is>
          <t>DS</t>
        </is>
      </c>
      <c r="C24" s="64" t="inlineStr">
        <is>
          <t>HS</t>
        </is>
      </c>
      <c r="D24" s="68">
        <f>IF(E22&gt;0,TRUNC(D22/E22,3),"")</f>
        <v/>
      </c>
      <c r="E24" s="65" t="n"/>
      <c r="F24" s="68">
        <f>IF(G22&gt;0,TRUNC(F22/G22,3),"")</f>
        <v/>
      </c>
      <c r="G24" s="65" t="n"/>
      <c r="H24" s="68">
        <f>IF(I22&gt;0,TRUNC(H22/I22,3),"")</f>
        <v/>
      </c>
      <c r="I24" s="65" t="n"/>
    </row>
    <row r="25" ht="24" customHeight="1">
      <c r="A25" s="62">
        <f>IF('Teilnehmer'!B4="","",'Teilnehmer'!B4)</f>
        <v/>
      </c>
      <c r="B25" s="65" t="n"/>
      <c r="C25" s="65" t="n"/>
      <c r="D25" s="64" t="inlineStr">
        <is>
          <t>Bälle</t>
        </is>
      </c>
      <c r="E25" s="64" t="inlineStr">
        <is>
          <t>Aufn.</t>
        </is>
      </c>
      <c r="F25" s="65" t="n"/>
      <c r="G25" s="65" t="n"/>
      <c r="H25" s="65" t="n"/>
      <c r="I25" s="65" t="n"/>
      <c r="J25" s="66">
        <f>IF(COUNTA(B25,F25,H25)=0,"",SUM(B26,F26,H26))</f>
        <v/>
      </c>
      <c r="K25" s="67">
        <f>IF(J25="","",SUM(B25,F25,H25))</f>
        <v/>
      </c>
      <c r="L25" s="67">
        <f>IF(J25="","",SUM(C25,G25,I25))</f>
        <v/>
      </c>
      <c r="M25" s="68">
        <f>IF(L25&gt;0,TRUNC(K25/L25,3),"")</f>
        <v/>
      </c>
      <c r="N25" s="67">
        <f>IF(J25="","",MAX(C27,G27,I27))</f>
        <v/>
      </c>
      <c r="O25" s="67">
        <f>IF(J25="","",RANK(P25,($P$22,$P$25,$P$28,$P$31),0))</f>
        <v/>
      </c>
      <c r="P25">
        <f>IF(J25="","",J25*1000000+M25*1000+K25)</f>
        <v/>
      </c>
    </row>
    <row r="26" ht="24" customHeight="1">
      <c r="A26" s="69" t="n"/>
      <c r="B26" s="66">
        <f>IF(OR(B25="",D22=""),"",IF(B25&gt;D22,2,IF(B25&lt;D22,0,1)))</f>
        <v/>
      </c>
      <c r="C26" s="69" t="n"/>
      <c r="D26" s="64" t="inlineStr">
        <is>
          <t>Partiepunkte</t>
        </is>
      </c>
      <c r="F26" s="66">
        <f>IF(OR(F25="",D28=""),"",IF(F25&gt;D28,2,IF(F25&lt;D28,0,1)))</f>
        <v/>
      </c>
      <c r="G26" s="69" t="n"/>
      <c r="H26" s="66">
        <f>IF(OR(H25="",D31=""),"",IF(H25&gt;D31,2,IF(H25&lt;D31,0,1)))</f>
        <v/>
      </c>
      <c r="I26" s="69" t="n"/>
    </row>
    <row r="27" ht="24" customHeight="1">
      <c r="A27" s="69" t="n"/>
      <c r="B27" s="68">
        <f>IF(C25&gt;0,TRUNC(B25/C25,3),"")</f>
        <v/>
      </c>
      <c r="C27" s="65" t="n"/>
      <c r="D27" s="64" t="inlineStr">
        <is>
          <t>DS</t>
        </is>
      </c>
      <c r="E27" s="64" t="inlineStr">
        <is>
          <t>HS</t>
        </is>
      </c>
      <c r="F27" s="68">
        <f>IF(G25&gt;0,TRUNC(F25/G25,3),"")</f>
        <v/>
      </c>
      <c r="G27" s="65" t="n"/>
      <c r="H27" s="68">
        <f>IF(I25&gt;0,TRUNC(H25/I25,3),"")</f>
        <v/>
      </c>
      <c r="I27" s="65" t="n"/>
    </row>
    <row r="28" ht="24" customHeight="1">
      <c r="A28" s="62">
        <f>IF('Teilnehmer'!B7="","",'Teilnehmer'!B7)</f>
        <v/>
      </c>
      <c r="B28" s="65" t="n"/>
      <c r="C28" s="65" t="n"/>
      <c r="D28" s="65" t="n"/>
      <c r="E28" s="65" t="n"/>
      <c r="F28" s="64" t="inlineStr">
        <is>
          <t>Bälle</t>
        </is>
      </c>
      <c r="G28" s="64" t="inlineStr">
        <is>
          <t>Aufn.</t>
        </is>
      </c>
      <c r="H28" s="65" t="n"/>
      <c r="I28" s="65" t="n"/>
      <c r="J28" s="66">
        <f>IF(COUNTA(B28,D28,H28)=0,"",SUM(B29,D29,H29))</f>
        <v/>
      </c>
      <c r="K28" s="67">
        <f>IF(J28="","",SUM(B28,D28,H28))</f>
        <v/>
      </c>
      <c r="L28" s="67">
        <f>IF(J28="","",SUM(C28,E28,I28))</f>
        <v/>
      </c>
      <c r="M28" s="68">
        <f>IF(L28&gt;0,TRUNC(K28/L28,3),"")</f>
        <v/>
      </c>
      <c r="N28" s="67">
        <f>IF(J28="","",MAX(C30,E30,I30))</f>
        <v/>
      </c>
      <c r="O28" s="67">
        <f>IF(J28="","",RANK(P28,($P$22,$P$25,$P$28,$P$31),0))</f>
        <v/>
      </c>
      <c r="P28">
        <f>IF(J28="","",J28*1000000+M28*1000+K28)</f>
        <v/>
      </c>
    </row>
    <row r="29" ht="24" customHeight="1">
      <c r="A29" s="69" t="n"/>
      <c r="B29" s="66">
        <f>IF(OR(B28="",F22=""),"",IF(B28&gt;F22,2,IF(B28&lt;F22,0,1)))</f>
        <v/>
      </c>
      <c r="C29" s="69" t="n"/>
      <c r="D29" s="66">
        <f>IF(OR(D28="",F25=""),"",IF(D28&gt;F25,2,IF(D28&lt;F25,0,1)))</f>
        <v/>
      </c>
      <c r="E29" s="69" t="n"/>
      <c r="F29" s="64" t="inlineStr">
        <is>
          <t>Partiepunkte</t>
        </is>
      </c>
      <c r="H29" s="66">
        <f>IF(OR(H28="",F31=""),"",IF(H28&gt;F31,2,IF(H28&lt;F31,0,1)))</f>
        <v/>
      </c>
      <c r="I29" s="69" t="n"/>
    </row>
    <row r="30" ht="24" customHeight="1">
      <c r="A30" s="69" t="n"/>
      <c r="B30" s="68">
        <f>IF(C28&gt;0,TRUNC(B28/C28,3),"")</f>
        <v/>
      </c>
      <c r="C30" s="65" t="n"/>
      <c r="D30" s="68">
        <f>IF(E28&gt;0,TRUNC(D28/E28,3),"")</f>
        <v/>
      </c>
      <c r="E30" s="65" t="n"/>
      <c r="F30" s="64" t="inlineStr">
        <is>
          <t>DS</t>
        </is>
      </c>
      <c r="G30" s="64" t="inlineStr">
        <is>
          <t>HS</t>
        </is>
      </c>
      <c r="H30" s="68">
        <f>IF(I28&gt;0,TRUNC(H28/I28,3),"")</f>
        <v/>
      </c>
      <c r="I30" s="65" t="n"/>
    </row>
    <row r="31" ht="24" customHeight="1">
      <c r="A31" s="62">
        <f>IF('Teilnehmer'!B8="","",'Teilnehmer'!B8)</f>
        <v/>
      </c>
      <c r="B31" s="65" t="n"/>
      <c r="C31" s="65" t="n"/>
      <c r="D31" s="65" t="n"/>
      <c r="E31" s="65" t="n"/>
      <c r="F31" s="65" t="n"/>
      <c r="G31" s="65" t="n"/>
      <c r="H31" s="64" t="inlineStr">
        <is>
          <t>Bälle</t>
        </is>
      </c>
      <c r="I31" s="64" t="inlineStr">
        <is>
          <t>Aufn.</t>
        </is>
      </c>
      <c r="J31" s="66">
        <f>IF(COUNTA(B31,D31,F31)=0,"",SUM(B32,D32,F32))</f>
        <v/>
      </c>
      <c r="K31" s="67">
        <f>IF(J31="","",SUM(B31,D31,F31))</f>
        <v/>
      </c>
      <c r="L31" s="67">
        <f>IF(J31="","",SUM(C31,E31,G31))</f>
        <v/>
      </c>
      <c r="M31" s="68">
        <f>IF(L31&gt;0,TRUNC(K31/L31,3),"")</f>
        <v/>
      </c>
      <c r="N31" s="67">
        <f>IF(J31="","",MAX(C33,E33,G33))</f>
        <v/>
      </c>
      <c r="O31" s="67">
        <f>IF(J31="","",RANK(P31,($P$22,$P$25,$P$28,$P$31),0))</f>
        <v/>
      </c>
      <c r="P31">
        <f>IF(J31="","",J31*1000000+M31*1000+K31)</f>
        <v/>
      </c>
    </row>
    <row r="32" ht="24" customHeight="1">
      <c r="A32" s="69" t="n"/>
      <c r="B32" s="66">
        <f>IF(OR(B31="",H22=""),"",IF(B31&gt;H22,2,IF(B31&lt;H22,0,1)))</f>
        <v/>
      </c>
      <c r="C32" s="69" t="n"/>
      <c r="D32" s="66">
        <f>IF(OR(D31="",H25=""),"",IF(D31&gt;H25,2,IF(D31&lt;H25,0,1)))</f>
        <v/>
      </c>
      <c r="E32" s="69" t="n"/>
      <c r="F32" s="66">
        <f>IF(OR(F31="",H28=""),"",IF(F31&gt;H28,2,IF(F31&lt;H28,0,1)))</f>
        <v/>
      </c>
      <c r="G32" s="69" t="n"/>
      <c r="H32" s="64" t="inlineStr">
        <is>
          <t>Partiepunkte</t>
        </is>
      </c>
    </row>
    <row r="33" ht="24" customHeight="1">
      <c r="A33" s="69" t="n"/>
      <c r="B33" s="68">
        <f>IF(C31&gt;0,TRUNC(B31/C31,3),"")</f>
        <v/>
      </c>
      <c r="C33" s="65" t="n"/>
      <c r="D33" s="68">
        <f>IF(E31&gt;0,TRUNC(D31/E31,3),"")</f>
        <v/>
      </c>
      <c r="E33" s="65" t="n"/>
      <c r="F33" s="68">
        <f>IF(G31&gt;0,TRUNC(F31/G31,3),"")</f>
        <v/>
      </c>
      <c r="G33" s="65" t="n"/>
      <c r="H33" s="64" t="inlineStr">
        <is>
          <t>DS</t>
        </is>
      </c>
      <c r="I33" s="64" t="inlineStr">
        <is>
          <t>HS</t>
        </is>
      </c>
    </row>
    <row r="34" ht="22" customHeight="1"/>
    <row r="35" ht="22" customHeight="1"/>
    <row r="36" ht="22" customHeight="1"/>
    <row r="37" ht="22" customHeight="1">
      <c r="A37" s="5" t="inlineStr">
        <is>
          <t>Final- und Platzierungsspiele</t>
        </is>
      </c>
      <c r="B37" s="60" t="n"/>
      <c r="C37" s="60" t="n"/>
      <c r="D37" s="60" t="n"/>
      <c r="E37" s="60" t="n"/>
      <c r="F37" s="60" t="n"/>
      <c r="G37" s="60" t="n"/>
      <c r="H37" s="60" t="n"/>
      <c r="I37" s="60" t="n"/>
      <c r="J37" s="60" t="n"/>
      <c r="K37" s="60" t="n"/>
      <c r="L37" s="60" t="n"/>
      <c r="M37" s="60" t="n"/>
      <c r="N37" s="60" t="n"/>
      <c r="O37" s="60" t="n"/>
    </row>
    <row r="38" ht="22" customHeight="1">
      <c r="A38" s="62" t="inlineStr">
        <is>
          <t>Runde</t>
        </is>
      </c>
      <c r="B38" s="62" t="inlineStr">
        <is>
          <t>Partie</t>
        </is>
      </c>
      <c r="C38" s="62" t="inlineStr">
        <is>
          <t>Tisch</t>
        </is>
      </c>
      <c r="D38" s="62" t="inlineStr">
        <is>
          <t>Spieler 1</t>
        </is>
      </c>
      <c r="E38" s="62" t="inlineStr">
        <is>
          <t>Pass 1</t>
        </is>
      </c>
      <c r="F38" s="62" t="inlineStr">
        <is>
          <t>Spieler 2</t>
        </is>
      </c>
      <c r="G38" s="62" t="inlineStr">
        <is>
          <t>Pass 2</t>
        </is>
      </c>
      <c r="H38" s="62" t="inlineStr">
        <is>
          <t>Punkte 1</t>
        </is>
      </c>
      <c r="I38" s="62" t="inlineStr">
        <is>
          <t>Punkte 2</t>
        </is>
      </c>
      <c r="J38" s="62" t="inlineStr">
        <is>
          <t>Aufn. 1</t>
        </is>
      </c>
      <c r="K38" s="62" t="inlineStr">
        <is>
          <t>Aufn. 2</t>
        </is>
      </c>
      <c r="L38" s="62" t="inlineStr">
        <is>
          <t>HS 1</t>
        </is>
      </c>
      <c r="M38" s="62" t="inlineStr">
        <is>
          <t>HS 2</t>
        </is>
      </c>
    </row>
    <row r="39" ht="25" customHeight="1">
      <c r="A39" s="70" t="inlineStr">
        <is>
          <t>Halbfinale 1 über Kreuz</t>
        </is>
      </c>
      <c r="B39" s="71" t="n">
        <v>13</v>
      </c>
      <c r="C39" s="71" t="n">
        <v>1</v>
      </c>
      <c r="D39" s="72" t="inlineStr"/>
      <c r="E39" s="65" t="inlineStr"/>
      <c r="F39" s="72" t="inlineStr"/>
      <c r="G39" s="65" t="inlineStr"/>
      <c r="H39" s="65" t="inlineStr"/>
      <c r="I39" s="65" t="inlineStr"/>
      <c r="J39" s="65" t="inlineStr"/>
      <c r="K39" s="65" t="inlineStr"/>
      <c r="L39" s="65" t="inlineStr"/>
      <c r="M39" s="65" t="inlineStr"/>
    </row>
    <row r="40" ht="25" customHeight="1">
      <c r="A40" s="70" t="inlineStr">
        <is>
          <t>Halbfinale 2 über Kreuz</t>
        </is>
      </c>
      <c r="B40" s="71" t="n">
        <v>14</v>
      </c>
      <c r="C40" s="71" t="n">
        <v>2</v>
      </c>
      <c r="D40" s="72" t="inlineStr"/>
      <c r="E40" s="65" t="inlineStr"/>
      <c r="F40" s="72" t="inlineStr"/>
      <c r="G40" s="65" t="inlineStr"/>
      <c r="H40" s="65" t="inlineStr"/>
      <c r="I40" s="65" t="inlineStr"/>
      <c r="J40" s="65" t="inlineStr"/>
      <c r="K40" s="65" t="inlineStr"/>
      <c r="L40" s="65" t="inlineStr"/>
      <c r="M40" s="65" t="inlineStr"/>
    </row>
    <row r="41" ht="25" customHeight="1">
      <c r="A41" s="70" t="inlineStr">
        <is>
          <t>Platz 7-8</t>
        </is>
      </c>
      <c r="B41" s="71" t="n">
        <v>15</v>
      </c>
      <c r="C41" s="71" t="n">
        <v>3</v>
      </c>
      <c r="D41" s="72" t="inlineStr"/>
      <c r="E41" s="65" t="inlineStr"/>
      <c r="F41" s="72" t="inlineStr"/>
      <c r="G41" s="65" t="inlineStr"/>
      <c r="H41" s="65" t="inlineStr"/>
      <c r="I41" s="65" t="inlineStr"/>
      <c r="J41" s="65" t="inlineStr"/>
      <c r="K41" s="65" t="inlineStr"/>
      <c r="L41" s="65" t="inlineStr"/>
      <c r="M41" s="65" t="inlineStr"/>
    </row>
    <row r="42" ht="25" customHeight="1">
      <c r="A42" s="70" t="inlineStr">
        <is>
          <t>Platz 5-6</t>
        </is>
      </c>
      <c r="B42" s="71" t="n">
        <v>16</v>
      </c>
      <c r="C42" s="71" t="n">
        <v>4</v>
      </c>
      <c r="D42" s="72" t="inlineStr"/>
      <c r="E42" s="65" t="inlineStr"/>
      <c r="F42" s="72" t="inlineStr"/>
      <c r="G42" s="65" t="inlineStr"/>
      <c r="H42" s="65" t="inlineStr"/>
      <c r="I42" s="65" t="inlineStr"/>
      <c r="J42" s="65" t="inlineStr"/>
      <c r="K42" s="65" t="inlineStr"/>
      <c r="L42" s="65" t="inlineStr"/>
      <c r="M42" s="65" t="inlineStr"/>
    </row>
    <row r="43" ht="25" customHeight="1">
      <c r="A43" s="70" t="inlineStr">
        <is>
          <t>Finale</t>
        </is>
      </c>
      <c r="B43" s="71" t="n">
        <v>17</v>
      </c>
      <c r="C43" s="71" t="n">
        <v>1</v>
      </c>
      <c r="D43" s="72" t="inlineStr"/>
      <c r="E43" s="65" t="inlineStr"/>
      <c r="F43" s="72" t="inlineStr"/>
      <c r="G43" s="65" t="inlineStr"/>
      <c r="H43" s="65" t="inlineStr"/>
      <c r="I43" s="65" t="inlineStr"/>
      <c r="J43" s="65" t="inlineStr"/>
      <c r="K43" s="65" t="inlineStr"/>
      <c r="L43" s="65" t="inlineStr"/>
      <c r="M43" s="65" t="inlineStr"/>
    </row>
    <row r="44" ht="25" customHeight="1">
      <c r="A44" s="70" t="inlineStr">
        <is>
          <t>Platz 3-4</t>
        </is>
      </c>
      <c r="B44" s="71" t="n">
        <v>18</v>
      </c>
      <c r="C44" s="71" t="n">
        <v>2</v>
      </c>
      <c r="D44" s="72" t="inlineStr"/>
      <c r="E44" s="65" t="inlineStr"/>
      <c r="F44" s="72" t="inlineStr"/>
      <c r="G44" s="65" t="inlineStr"/>
      <c r="H44" s="65" t="inlineStr"/>
      <c r="I44" s="65" t="inlineStr"/>
      <c r="J44" s="65" t="inlineStr"/>
      <c r="K44" s="65" t="inlineStr"/>
      <c r="L44" s="65" t="inlineStr"/>
      <c r="M44" s="65" t="inlineStr"/>
    </row>
    <row r="45" ht="22" customHeight="1"/>
  </sheetData>
  <mergeCells count="100">
    <mergeCell ref="O31:O33"/>
    <mergeCell ref="M12:M14"/>
    <mergeCell ref="F29:G29"/>
    <mergeCell ref="O12:O14"/>
    <mergeCell ref="F16:G16"/>
    <mergeCell ref="H10:I10"/>
    <mergeCell ref="J25:J27"/>
    <mergeCell ref="L25:L27"/>
    <mergeCell ref="N28:N30"/>
    <mergeCell ref="N6:N8"/>
    <mergeCell ref="L9:L11"/>
    <mergeCell ref="N9:N11"/>
    <mergeCell ref="B21:C21"/>
    <mergeCell ref="D13:E13"/>
    <mergeCell ref="A15:A17"/>
    <mergeCell ref="B13:C13"/>
    <mergeCell ref="D7:E7"/>
    <mergeCell ref="F23:G23"/>
    <mergeCell ref="F13:G13"/>
    <mergeCell ref="A6:A8"/>
    <mergeCell ref="H13:I13"/>
    <mergeCell ref="M6:M8"/>
    <mergeCell ref="J15:J17"/>
    <mergeCell ref="L15:L17"/>
    <mergeCell ref="M25:M27"/>
    <mergeCell ref="O25:O27"/>
    <mergeCell ref="H23:I23"/>
    <mergeCell ref="B32:C32"/>
    <mergeCell ref="B26:C26"/>
    <mergeCell ref="D26:E26"/>
    <mergeCell ref="A12:A14"/>
    <mergeCell ref="B16:C16"/>
    <mergeCell ref="D10:E10"/>
    <mergeCell ref="F10:G10"/>
    <mergeCell ref="F5:G5"/>
    <mergeCell ref="A31:A33"/>
    <mergeCell ref="K15:K17"/>
    <mergeCell ref="A20:O20"/>
    <mergeCell ref="B29:C29"/>
    <mergeCell ref="O15:O17"/>
    <mergeCell ref="J28:J30"/>
    <mergeCell ref="J6:J8"/>
    <mergeCell ref="L28:L30"/>
    <mergeCell ref="N22:N24"/>
    <mergeCell ref="L12:L14"/>
    <mergeCell ref="N12:N14"/>
    <mergeCell ref="D29:E29"/>
    <mergeCell ref="A25:A27"/>
    <mergeCell ref="D23:E23"/>
    <mergeCell ref="H5:I5"/>
    <mergeCell ref="K12:K14"/>
    <mergeCell ref="B7:C7"/>
    <mergeCell ref="A22:A24"/>
    <mergeCell ref="F7:G7"/>
    <mergeCell ref="F21:G21"/>
    <mergeCell ref="K28:K30"/>
    <mergeCell ref="K6:K8"/>
    <mergeCell ref="H21:I21"/>
    <mergeCell ref="A28:A30"/>
    <mergeCell ref="K25:K27"/>
    <mergeCell ref="O28:O30"/>
    <mergeCell ref="O6:O8"/>
    <mergeCell ref="K9:K11"/>
    <mergeCell ref="M9:M11"/>
    <mergeCell ref="O9:O11"/>
    <mergeCell ref="H16:I16"/>
    <mergeCell ref="N25:N27"/>
    <mergeCell ref="J9:J11"/>
    <mergeCell ref="B5:C5"/>
    <mergeCell ref="D5:E5"/>
    <mergeCell ref="D1:K1"/>
    <mergeCell ref="H29:I29"/>
    <mergeCell ref="A37:O37"/>
    <mergeCell ref="J22:J24"/>
    <mergeCell ref="L22:L24"/>
    <mergeCell ref="J31:J33"/>
    <mergeCell ref="L31:L33"/>
    <mergeCell ref="D21:E21"/>
    <mergeCell ref="N31:N33"/>
    <mergeCell ref="J12:J14"/>
    <mergeCell ref="L6:L8"/>
    <mergeCell ref="N15:N17"/>
    <mergeCell ref="B23:C23"/>
    <mergeCell ref="D32:E32"/>
    <mergeCell ref="F32:G32"/>
    <mergeCell ref="F26:G26"/>
    <mergeCell ref="A4:O4"/>
    <mergeCell ref="A9:A11"/>
    <mergeCell ref="D16:E16"/>
    <mergeCell ref="H32:I32"/>
    <mergeCell ref="H7:I7"/>
    <mergeCell ref="B10:C10"/>
    <mergeCell ref="K22:K24"/>
    <mergeCell ref="M22:M24"/>
    <mergeCell ref="K31:K33"/>
    <mergeCell ref="M31:M33"/>
    <mergeCell ref="M15:M17"/>
    <mergeCell ref="M28:M30"/>
    <mergeCell ref="O22:O24"/>
    <mergeCell ref="H26:I26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6" customWidth="1" min="3" max="3"/>
    <col width="14" customWidth="1" min="4" max="4"/>
    <col width="16" customWidth="1" min="5" max="5"/>
    <col width="58" customWidth="1" min="6" max="6"/>
  </cols>
  <sheetData>
    <row r="1">
      <c r="A1" s="73" t="inlineStr">
        <is>
          <t>Setzposition</t>
        </is>
      </c>
      <c r="B1" s="73" t="inlineStr">
        <is>
          <t>Spieler</t>
        </is>
      </c>
      <c r="C1" s="73" t="inlineStr">
        <is>
          <t>Passnummer</t>
        </is>
      </c>
      <c r="D1" s="73" t="inlineStr">
        <is>
          <t>Gruppe</t>
        </is>
      </c>
      <c r="E1" s="73" t="inlineStr">
        <is>
          <t>Gruppenposition</t>
        </is>
      </c>
      <c r="F1" s="73" t="inlineStr">
        <is>
          <t>Hinweis</t>
        </is>
      </c>
    </row>
    <row r="2">
      <c r="A2" s="74" t="n">
        <v>1</v>
      </c>
      <c r="B2" s="75" t="inlineStr"/>
      <c r="C2" s="76" t="inlineStr"/>
      <c r="D2" s="74" t="inlineStr">
        <is>
          <t>Gruppe 1</t>
        </is>
      </c>
      <c r="E2" s="74" t="n">
        <v>1</v>
      </c>
      <c r="F2" s="77" t="inlineStr">
        <is>
          <t>Name und Passnummer hier eintragen</t>
        </is>
      </c>
    </row>
    <row r="3">
      <c r="A3" s="74" t="n">
        <v>2</v>
      </c>
      <c r="B3" s="75" t="inlineStr"/>
      <c r="C3" s="76" t="inlineStr"/>
      <c r="D3" s="74" t="inlineStr">
        <is>
          <t>Gruppe 2</t>
        </is>
      </c>
      <c r="E3" s="74" t="n">
        <v>1</v>
      </c>
      <c r="F3" s="77" t="inlineStr">
        <is>
          <t>Name und Passnummer hier eintragen</t>
        </is>
      </c>
    </row>
    <row r="4">
      <c r="A4" s="74" t="n">
        <v>3</v>
      </c>
      <c r="B4" s="75" t="inlineStr"/>
      <c r="C4" s="76" t="inlineStr"/>
      <c r="D4" s="74" t="inlineStr">
        <is>
          <t>Gruppe 2</t>
        </is>
      </c>
      <c r="E4" s="74" t="n">
        <v>2</v>
      </c>
      <c r="F4" s="77" t="inlineStr">
        <is>
          <t>Name und Passnummer hier eintragen</t>
        </is>
      </c>
    </row>
    <row r="5">
      <c r="A5" s="74" t="n">
        <v>4</v>
      </c>
      <c r="B5" s="75" t="inlineStr"/>
      <c r="C5" s="76" t="inlineStr"/>
      <c r="D5" s="74" t="inlineStr">
        <is>
          <t>Gruppe 1</t>
        </is>
      </c>
      <c r="E5" s="74" t="n">
        <v>2</v>
      </c>
      <c r="F5" s="77" t="inlineStr">
        <is>
          <t>Name und Passnummer hier eintragen</t>
        </is>
      </c>
    </row>
    <row r="6">
      <c r="A6" s="74" t="n">
        <v>5</v>
      </c>
      <c r="B6" s="75" t="inlineStr"/>
      <c r="C6" s="76" t="inlineStr"/>
      <c r="D6" s="74" t="inlineStr">
        <is>
          <t>Gruppe 1</t>
        </is>
      </c>
      <c r="E6" s="74" t="n">
        <v>3</v>
      </c>
      <c r="F6" s="77" t="inlineStr">
        <is>
          <t>Name und Passnummer hier eintragen</t>
        </is>
      </c>
    </row>
    <row r="7">
      <c r="A7" s="74" t="n">
        <v>6</v>
      </c>
      <c r="B7" s="75" t="inlineStr"/>
      <c r="C7" s="76" t="inlineStr"/>
      <c r="D7" s="74" t="inlineStr">
        <is>
          <t>Gruppe 2</t>
        </is>
      </c>
      <c r="E7" s="74" t="n">
        <v>3</v>
      </c>
      <c r="F7" s="77" t="inlineStr">
        <is>
          <t>Name und Passnummer hier eintragen</t>
        </is>
      </c>
    </row>
    <row r="8">
      <c r="A8" s="74" t="n">
        <v>7</v>
      </c>
      <c r="B8" s="75" t="inlineStr"/>
      <c r="C8" s="76" t="inlineStr"/>
      <c r="D8" s="74" t="inlineStr">
        <is>
          <t>Gruppe 2</t>
        </is>
      </c>
      <c r="E8" s="74" t="n">
        <v>4</v>
      </c>
      <c r="F8" s="77" t="inlineStr">
        <is>
          <t>Name und Passnummer hier eintragen</t>
        </is>
      </c>
    </row>
    <row r="9">
      <c r="A9" s="74" t="n">
        <v>8</v>
      </c>
      <c r="B9" s="75" t="inlineStr"/>
      <c r="C9" s="76" t="inlineStr"/>
      <c r="D9" s="74" t="inlineStr">
        <is>
          <t>Gruppe 1</t>
        </is>
      </c>
      <c r="E9" s="74" t="n">
        <v>4</v>
      </c>
      <c r="F9" s="77" t="inlineStr">
        <is>
          <t>Name und Passnummer hier eintragen</t>
        </is>
      </c>
    </row>
    <row r="11" ht="28" customHeight="1">
      <c r="A11" s="55" t="inlineStr">
        <is>
          <t>Diese acht Namen werden automatisch in das Tableau übernommen. CSV Export verwendet die Passnummern.</t>
        </is>
      </c>
      <c r="B11" s="78" t="n"/>
      <c r="C11" s="78" t="n"/>
      <c r="D11" s="78" t="n"/>
      <c r="E11" s="78" t="n"/>
      <c r="F11" s="79" t="n"/>
    </row>
  </sheetData>
  <mergeCells count="1">
    <mergeCell ref="A11:F11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18" customWidth="1" min="4" max="4"/>
    <col width="18" customWidth="1" min="5" max="5"/>
    <col width="16" customWidth="1" min="6" max="6"/>
    <col width="16" customWidth="1" min="7" max="7"/>
    <col width="18" customWidth="1" min="8" max="8"/>
    <col width="18" customWidth="1" min="9" max="9"/>
    <col width="20" customWidth="1" min="10" max="10"/>
    <col width="20" customWidth="1" min="11" max="11"/>
    <col width="14" customWidth="1" min="12" max="12"/>
    <col width="10" customWidth="1" min="13" max="13"/>
  </cols>
  <sheetData>
    <row r="1">
      <c r="A1" s="58" t="inlineStr">
        <is>
          <t>GRUPPE/RUNDE</t>
        </is>
      </c>
      <c r="B1" s="58" t="inlineStr">
        <is>
          <t>PARTIE</t>
        </is>
      </c>
      <c r="C1" s="58" t="inlineStr">
        <is>
          <t>SATZ-NR.</t>
        </is>
      </c>
      <c r="D1" s="58" t="inlineStr">
        <is>
          <t>PASS-NR. SPIELER 1</t>
        </is>
      </c>
      <c r="E1" s="58" t="inlineStr">
        <is>
          <t>PASS-NR. SPIELER 2</t>
        </is>
      </c>
      <c r="F1" s="58" t="inlineStr">
        <is>
          <t>PUNKTE SPIELER 1</t>
        </is>
      </c>
      <c r="G1" s="58" t="inlineStr">
        <is>
          <t>PUNKTE SPIELER 2</t>
        </is>
      </c>
      <c r="H1" s="58" t="inlineStr">
        <is>
          <t>AUFNAHMEN SPIELER 1</t>
        </is>
      </c>
      <c r="I1" s="58" t="inlineStr">
        <is>
          <t>AUFNAHMEN SPIELER 2</t>
        </is>
      </c>
      <c r="J1" s="58" t="inlineStr">
        <is>
          <t>HÖCHSTSERIE SPIELER 1</t>
        </is>
      </c>
      <c r="K1" s="58" t="inlineStr">
        <is>
          <t>HÖCHSTSERIE SPIELER 2</t>
        </is>
      </c>
      <c r="L1" s="58" t="inlineStr">
        <is>
          <t>DATUM</t>
        </is>
      </c>
      <c r="M1" s="58" t="inlineStr">
        <is>
          <t>UHRZEIT</t>
        </is>
      </c>
    </row>
    <row r="2">
      <c r="A2" s="74" t="inlineStr">
        <is>
          <t>Gruppe 1</t>
        </is>
      </c>
      <c r="B2" s="74" t="n">
        <v>1</v>
      </c>
      <c r="C2" s="74" t="n">
        <v>1</v>
      </c>
      <c r="D2" s="74">
        <f>IF('Teilnehmer'!C2="","",'Teilnehmer'!C2)</f>
        <v/>
      </c>
      <c r="E2" s="74">
        <f>IF('Teilnehmer'!C5="","",'Teilnehmer'!C5)</f>
        <v/>
      </c>
      <c r="F2" s="74">
        <f>IF('Tableau'!D6="","",'Tableau'!D6)</f>
        <v/>
      </c>
      <c r="G2" s="74">
        <f>IF('Tableau'!B9="","",'Tableau'!B9)</f>
        <v/>
      </c>
      <c r="H2" s="74">
        <f>IF('Tableau'!E6="","",'Tableau'!E6)</f>
        <v/>
      </c>
      <c r="I2" s="74">
        <f>IF('Tableau'!C9="","",'Tableau'!C9)</f>
        <v/>
      </c>
      <c r="J2" s="74">
        <f>IF('Tableau'!E8="","",'Tableau'!E8)</f>
        <v/>
      </c>
      <c r="K2" s="74">
        <f>IF('Tableau'!C11="","",'Tableau'!C11)</f>
        <v/>
      </c>
      <c r="L2" s="74">
        <f>'Tableau'!O2</f>
        <v/>
      </c>
      <c r="M2" s="74" t="inlineStr"/>
    </row>
    <row r="3">
      <c r="A3" s="74" t="inlineStr">
        <is>
          <t>Gruppe 1</t>
        </is>
      </c>
      <c r="B3" s="74" t="n">
        <v>2</v>
      </c>
      <c r="C3" s="74" t="n">
        <v>1</v>
      </c>
      <c r="D3" s="74">
        <f>IF('Teilnehmer'!C2="","",'Teilnehmer'!C2)</f>
        <v/>
      </c>
      <c r="E3" s="74">
        <f>IF('Teilnehmer'!C6="","",'Teilnehmer'!C6)</f>
        <v/>
      </c>
      <c r="F3" s="74">
        <f>IF('Tableau'!F6="","",'Tableau'!F6)</f>
        <v/>
      </c>
      <c r="G3" s="74">
        <f>IF('Tableau'!B12="","",'Tableau'!B12)</f>
        <v/>
      </c>
      <c r="H3" s="74">
        <f>IF('Tableau'!G6="","",'Tableau'!G6)</f>
        <v/>
      </c>
      <c r="I3" s="74">
        <f>IF('Tableau'!C12="","",'Tableau'!C12)</f>
        <v/>
      </c>
      <c r="J3" s="74">
        <f>IF('Tableau'!G8="","",'Tableau'!G8)</f>
        <v/>
      </c>
      <c r="K3" s="74">
        <f>IF('Tableau'!C14="","",'Tableau'!C14)</f>
        <v/>
      </c>
      <c r="L3" s="74">
        <f>'Tableau'!O2</f>
        <v/>
      </c>
      <c r="M3" s="74" t="inlineStr"/>
    </row>
    <row r="4">
      <c r="A4" s="74" t="inlineStr">
        <is>
          <t>Gruppe 1</t>
        </is>
      </c>
      <c r="B4" s="74" t="n">
        <v>3</v>
      </c>
      <c r="C4" s="74" t="n">
        <v>1</v>
      </c>
      <c r="D4" s="74">
        <f>IF('Teilnehmer'!C2="","",'Teilnehmer'!C2)</f>
        <v/>
      </c>
      <c r="E4" s="74">
        <f>IF('Teilnehmer'!C9="","",'Teilnehmer'!C9)</f>
        <v/>
      </c>
      <c r="F4" s="74">
        <f>IF('Tableau'!H6="","",'Tableau'!H6)</f>
        <v/>
      </c>
      <c r="G4" s="74">
        <f>IF('Tableau'!B15="","",'Tableau'!B15)</f>
        <v/>
      </c>
      <c r="H4" s="74">
        <f>IF('Tableau'!I6="","",'Tableau'!I6)</f>
        <v/>
      </c>
      <c r="I4" s="74">
        <f>IF('Tableau'!C15="","",'Tableau'!C15)</f>
        <v/>
      </c>
      <c r="J4" s="74">
        <f>IF('Tableau'!I8="","",'Tableau'!I8)</f>
        <v/>
      </c>
      <c r="K4" s="74">
        <f>IF('Tableau'!C17="","",'Tableau'!C17)</f>
        <v/>
      </c>
      <c r="L4" s="74">
        <f>'Tableau'!O2</f>
        <v/>
      </c>
      <c r="M4" s="74" t="inlineStr"/>
    </row>
    <row r="5">
      <c r="A5" s="74" t="inlineStr">
        <is>
          <t>Gruppe 1</t>
        </is>
      </c>
      <c r="B5" s="74" t="n">
        <v>4</v>
      </c>
      <c r="C5" s="74" t="n">
        <v>1</v>
      </c>
      <c r="D5" s="74">
        <f>IF('Teilnehmer'!C5="","",'Teilnehmer'!C5)</f>
        <v/>
      </c>
      <c r="E5" s="74">
        <f>IF('Teilnehmer'!C6="","",'Teilnehmer'!C6)</f>
        <v/>
      </c>
      <c r="F5" s="74">
        <f>IF('Tableau'!F9="","",'Tableau'!F9)</f>
        <v/>
      </c>
      <c r="G5" s="74">
        <f>IF('Tableau'!D12="","",'Tableau'!D12)</f>
        <v/>
      </c>
      <c r="H5" s="74">
        <f>IF('Tableau'!G9="","",'Tableau'!G9)</f>
        <v/>
      </c>
      <c r="I5" s="74">
        <f>IF('Tableau'!E12="","",'Tableau'!E12)</f>
        <v/>
      </c>
      <c r="J5" s="74">
        <f>IF('Tableau'!G11="","",'Tableau'!G11)</f>
        <v/>
      </c>
      <c r="K5" s="74">
        <f>IF('Tableau'!E14="","",'Tableau'!E14)</f>
        <v/>
      </c>
      <c r="L5" s="74">
        <f>'Tableau'!O2</f>
        <v/>
      </c>
      <c r="M5" s="74" t="inlineStr"/>
    </row>
    <row r="6">
      <c r="A6" s="74" t="inlineStr">
        <is>
          <t>Gruppe 1</t>
        </is>
      </c>
      <c r="B6" s="74" t="n">
        <v>5</v>
      </c>
      <c r="C6" s="74" t="n">
        <v>1</v>
      </c>
      <c r="D6" s="74">
        <f>IF('Teilnehmer'!C5="","",'Teilnehmer'!C5)</f>
        <v/>
      </c>
      <c r="E6" s="74">
        <f>IF('Teilnehmer'!C9="","",'Teilnehmer'!C9)</f>
        <v/>
      </c>
      <c r="F6" s="74">
        <f>IF('Tableau'!H9="","",'Tableau'!H9)</f>
        <v/>
      </c>
      <c r="G6" s="74">
        <f>IF('Tableau'!D15="","",'Tableau'!D15)</f>
        <v/>
      </c>
      <c r="H6" s="74">
        <f>IF('Tableau'!I9="","",'Tableau'!I9)</f>
        <v/>
      </c>
      <c r="I6" s="74">
        <f>IF('Tableau'!E15="","",'Tableau'!E15)</f>
        <v/>
      </c>
      <c r="J6" s="74">
        <f>IF('Tableau'!I11="","",'Tableau'!I11)</f>
        <v/>
      </c>
      <c r="K6" s="74">
        <f>IF('Tableau'!E17="","",'Tableau'!E17)</f>
        <v/>
      </c>
      <c r="L6" s="74">
        <f>'Tableau'!O2</f>
        <v/>
      </c>
      <c r="M6" s="74" t="inlineStr"/>
    </row>
    <row r="7">
      <c r="A7" s="74" t="inlineStr">
        <is>
          <t>Gruppe 1</t>
        </is>
      </c>
      <c r="B7" s="74" t="n">
        <v>6</v>
      </c>
      <c r="C7" s="74" t="n">
        <v>1</v>
      </c>
      <c r="D7" s="74">
        <f>IF('Teilnehmer'!C6="","",'Teilnehmer'!C6)</f>
        <v/>
      </c>
      <c r="E7" s="74">
        <f>IF('Teilnehmer'!C9="","",'Teilnehmer'!C9)</f>
        <v/>
      </c>
      <c r="F7" s="74">
        <f>IF('Tableau'!H12="","",'Tableau'!H12)</f>
        <v/>
      </c>
      <c r="G7" s="74">
        <f>IF('Tableau'!F15="","",'Tableau'!F15)</f>
        <v/>
      </c>
      <c r="H7" s="74">
        <f>IF('Tableau'!I12="","",'Tableau'!I12)</f>
        <v/>
      </c>
      <c r="I7" s="74">
        <f>IF('Tableau'!G15="","",'Tableau'!G15)</f>
        <v/>
      </c>
      <c r="J7" s="74">
        <f>IF('Tableau'!I14="","",'Tableau'!I14)</f>
        <v/>
      </c>
      <c r="K7" s="74">
        <f>IF('Tableau'!G17="","",'Tableau'!G17)</f>
        <v/>
      </c>
      <c r="L7" s="74">
        <f>'Tableau'!O2</f>
        <v/>
      </c>
      <c r="M7" s="74" t="inlineStr"/>
    </row>
    <row r="8">
      <c r="A8" s="74" t="inlineStr">
        <is>
          <t>Gruppe 2</t>
        </is>
      </c>
      <c r="B8" s="74" t="n">
        <v>7</v>
      </c>
      <c r="C8" s="74" t="n">
        <v>1</v>
      </c>
      <c r="D8" s="74">
        <f>IF('Teilnehmer'!C3="","",'Teilnehmer'!C3)</f>
        <v/>
      </c>
      <c r="E8" s="74">
        <f>IF('Teilnehmer'!C4="","",'Teilnehmer'!C4)</f>
        <v/>
      </c>
      <c r="F8" s="74">
        <f>IF('Tableau'!D22="","",'Tableau'!D22)</f>
        <v/>
      </c>
      <c r="G8" s="74">
        <f>IF('Tableau'!B25="","",'Tableau'!B25)</f>
        <v/>
      </c>
      <c r="H8" s="74">
        <f>IF('Tableau'!E22="","",'Tableau'!E22)</f>
        <v/>
      </c>
      <c r="I8" s="74">
        <f>IF('Tableau'!C25="","",'Tableau'!C25)</f>
        <v/>
      </c>
      <c r="J8" s="74">
        <f>IF('Tableau'!E24="","",'Tableau'!E24)</f>
        <v/>
      </c>
      <c r="K8" s="74">
        <f>IF('Tableau'!C27="","",'Tableau'!C27)</f>
        <v/>
      </c>
      <c r="L8" s="74">
        <f>'Tableau'!O2</f>
        <v/>
      </c>
      <c r="M8" s="74" t="inlineStr"/>
    </row>
    <row r="9">
      <c r="A9" s="74" t="inlineStr">
        <is>
          <t>Gruppe 2</t>
        </is>
      </c>
      <c r="B9" s="74" t="n">
        <v>8</v>
      </c>
      <c r="C9" s="74" t="n">
        <v>1</v>
      </c>
      <c r="D9" s="74">
        <f>IF('Teilnehmer'!C3="","",'Teilnehmer'!C3)</f>
        <v/>
      </c>
      <c r="E9" s="74">
        <f>IF('Teilnehmer'!C7="","",'Teilnehmer'!C7)</f>
        <v/>
      </c>
      <c r="F9" s="74">
        <f>IF('Tableau'!F22="","",'Tableau'!F22)</f>
        <v/>
      </c>
      <c r="G9" s="74">
        <f>IF('Tableau'!B28="","",'Tableau'!B28)</f>
        <v/>
      </c>
      <c r="H9" s="74">
        <f>IF('Tableau'!G22="","",'Tableau'!G22)</f>
        <v/>
      </c>
      <c r="I9" s="74">
        <f>IF('Tableau'!C28="","",'Tableau'!C28)</f>
        <v/>
      </c>
      <c r="J9" s="74">
        <f>IF('Tableau'!G24="","",'Tableau'!G24)</f>
        <v/>
      </c>
      <c r="K9" s="74">
        <f>IF('Tableau'!C30="","",'Tableau'!C30)</f>
        <v/>
      </c>
      <c r="L9" s="74">
        <f>'Tableau'!O2</f>
        <v/>
      </c>
      <c r="M9" s="74" t="inlineStr"/>
    </row>
    <row r="10">
      <c r="A10" s="74" t="inlineStr">
        <is>
          <t>Gruppe 2</t>
        </is>
      </c>
      <c r="B10" s="74" t="n">
        <v>9</v>
      </c>
      <c r="C10" s="74" t="n">
        <v>1</v>
      </c>
      <c r="D10" s="74">
        <f>IF('Teilnehmer'!C3="","",'Teilnehmer'!C3)</f>
        <v/>
      </c>
      <c r="E10" s="74">
        <f>IF('Teilnehmer'!C8="","",'Teilnehmer'!C8)</f>
        <v/>
      </c>
      <c r="F10" s="74">
        <f>IF('Tableau'!H22="","",'Tableau'!H22)</f>
        <v/>
      </c>
      <c r="G10" s="74">
        <f>IF('Tableau'!B31="","",'Tableau'!B31)</f>
        <v/>
      </c>
      <c r="H10" s="74">
        <f>IF('Tableau'!I22="","",'Tableau'!I22)</f>
        <v/>
      </c>
      <c r="I10" s="74">
        <f>IF('Tableau'!C31="","",'Tableau'!C31)</f>
        <v/>
      </c>
      <c r="J10" s="74">
        <f>IF('Tableau'!I24="","",'Tableau'!I24)</f>
        <v/>
      </c>
      <c r="K10" s="74">
        <f>IF('Tableau'!C33="","",'Tableau'!C33)</f>
        <v/>
      </c>
      <c r="L10" s="74">
        <f>'Tableau'!O2</f>
        <v/>
      </c>
      <c r="M10" s="74" t="inlineStr"/>
    </row>
    <row r="11">
      <c r="A11" s="74" t="inlineStr">
        <is>
          <t>Gruppe 2</t>
        </is>
      </c>
      <c r="B11" s="74" t="n">
        <v>10</v>
      </c>
      <c r="C11" s="74" t="n">
        <v>1</v>
      </c>
      <c r="D11" s="74">
        <f>IF('Teilnehmer'!C4="","",'Teilnehmer'!C4)</f>
        <v/>
      </c>
      <c r="E11" s="74">
        <f>IF('Teilnehmer'!C7="","",'Teilnehmer'!C7)</f>
        <v/>
      </c>
      <c r="F11" s="74">
        <f>IF('Tableau'!F25="","",'Tableau'!F25)</f>
        <v/>
      </c>
      <c r="G11" s="74">
        <f>IF('Tableau'!D28="","",'Tableau'!D28)</f>
        <v/>
      </c>
      <c r="H11" s="74">
        <f>IF('Tableau'!G25="","",'Tableau'!G25)</f>
        <v/>
      </c>
      <c r="I11" s="74">
        <f>IF('Tableau'!E28="","",'Tableau'!E28)</f>
        <v/>
      </c>
      <c r="J11" s="74">
        <f>IF('Tableau'!G27="","",'Tableau'!G27)</f>
        <v/>
      </c>
      <c r="K11" s="74">
        <f>IF('Tableau'!E30="","",'Tableau'!E30)</f>
        <v/>
      </c>
      <c r="L11" s="74">
        <f>'Tableau'!O2</f>
        <v/>
      </c>
      <c r="M11" s="74" t="inlineStr"/>
    </row>
    <row r="12">
      <c r="A12" s="74" t="inlineStr">
        <is>
          <t>Gruppe 2</t>
        </is>
      </c>
      <c r="B12" s="74" t="n">
        <v>11</v>
      </c>
      <c r="C12" s="74" t="n">
        <v>1</v>
      </c>
      <c r="D12" s="74">
        <f>IF('Teilnehmer'!C4="","",'Teilnehmer'!C4)</f>
        <v/>
      </c>
      <c r="E12" s="74">
        <f>IF('Teilnehmer'!C8="","",'Teilnehmer'!C8)</f>
        <v/>
      </c>
      <c r="F12" s="74">
        <f>IF('Tableau'!H25="","",'Tableau'!H25)</f>
        <v/>
      </c>
      <c r="G12" s="74">
        <f>IF('Tableau'!D31="","",'Tableau'!D31)</f>
        <v/>
      </c>
      <c r="H12" s="74">
        <f>IF('Tableau'!I25="","",'Tableau'!I25)</f>
        <v/>
      </c>
      <c r="I12" s="74">
        <f>IF('Tableau'!E31="","",'Tableau'!E31)</f>
        <v/>
      </c>
      <c r="J12" s="74">
        <f>IF('Tableau'!I27="","",'Tableau'!I27)</f>
        <v/>
      </c>
      <c r="K12" s="74">
        <f>IF('Tableau'!E33="","",'Tableau'!E33)</f>
        <v/>
      </c>
      <c r="L12" s="74">
        <f>'Tableau'!O2</f>
        <v/>
      </c>
      <c r="M12" s="74" t="inlineStr"/>
    </row>
    <row r="13">
      <c r="A13" s="74" t="inlineStr">
        <is>
          <t>Gruppe 2</t>
        </is>
      </c>
      <c r="B13" s="74" t="n">
        <v>12</v>
      </c>
      <c r="C13" s="74" t="n">
        <v>1</v>
      </c>
      <c r="D13" s="74">
        <f>IF('Teilnehmer'!C7="","",'Teilnehmer'!C7)</f>
        <v/>
      </c>
      <c r="E13" s="74">
        <f>IF('Teilnehmer'!C8="","",'Teilnehmer'!C8)</f>
        <v/>
      </c>
      <c r="F13" s="74">
        <f>IF('Tableau'!H28="","",'Tableau'!H28)</f>
        <v/>
      </c>
      <c r="G13" s="74">
        <f>IF('Tableau'!F31="","",'Tableau'!F31)</f>
        <v/>
      </c>
      <c r="H13" s="74">
        <f>IF('Tableau'!I28="","",'Tableau'!I28)</f>
        <v/>
      </c>
      <c r="I13" s="74">
        <f>IF('Tableau'!G31="","",'Tableau'!G31)</f>
        <v/>
      </c>
      <c r="J13" s="74">
        <f>IF('Tableau'!I30="","",'Tableau'!I30)</f>
        <v/>
      </c>
      <c r="K13" s="74">
        <f>IF('Tableau'!G33="","",'Tableau'!G33)</f>
        <v/>
      </c>
      <c r="L13" s="74">
        <f>'Tableau'!O2</f>
        <v/>
      </c>
      <c r="M13" s="74" t="inlineStr"/>
    </row>
    <row r="14">
      <c r="A14" s="74">
        <f>IF('Tableau'!A39="","",'Tableau'!A39)</f>
        <v/>
      </c>
      <c r="B14" s="74">
        <f>IF('Tableau'!B39="","",'Tableau'!B39)</f>
        <v/>
      </c>
      <c r="C14" s="74" t="n">
        <v>1</v>
      </c>
      <c r="D14" s="74">
        <f>IF('Tableau'!E39="","",'Tableau'!E39)</f>
        <v/>
      </c>
      <c r="E14" s="74">
        <f>IF('Tableau'!G39="","",'Tableau'!G39)</f>
        <v/>
      </c>
      <c r="F14" s="74">
        <f>IF('Tableau'!H39="","",'Tableau'!H39)</f>
        <v/>
      </c>
      <c r="G14" s="74">
        <f>IF('Tableau'!I39="","",'Tableau'!I39)</f>
        <v/>
      </c>
      <c r="H14" s="74">
        <f>IF('Tableau'!J39="","",'Tableau'!J39)</f>
        <v/>
      </c>
      <c r="I14" s="74">
        <f>IF('Tableau'!K39="","",'Tableau'!K39)</f>
        <v/>
      </c>
      <c r="J14" s="74">
        <f>IF('Tableau'!L39="","",'Tableau'!L39)</f>
        <v/>
      </c>
      <c r="K14" s="74">
        <f>IF('Tableau'!M39="","",'Tableau'!M39)</f>
        <v/>
      </c>
      <c r="L14" s="74">
        <f>'Tableau'!O2</f>
        <v/>
      </c>
      <c r="M14" s="74" t="inlineStr"/>
    </row>
    <row r="15">
      <c r="A15" s="74">
        <f>IF('Tableau'!A40="","",'Tableau'!A40)</f>
        <v/>
      </c>
      <c r="B15" s="74">
        <f>IF('Tableau'!B40="","",'Tableau'!B40)</f>
        <v/>
      </c>
      <c r="C15" s="74" t="n">
        <v>1</v>
      </c>
      <c r="D15" s="74">
        <f>IF('Tableau'!E40="","",'Tableau'!E40)</f>
        <v/>
      </c>
      <c r="E15" s="74">
        <f>IF('Tableau'!G40="","",'Tableau'!G40)</f>
        <v/>
      </c>
      <c r="F15" s="74">
        <f>IF('Tableau'!H40="","",'Tableau'!H40)</f>
        <v/>
      </c>
      <c r="G15" s="74">
        <f>IF('Tableau'!I40="","",'Tableau'!I40)</f>
        <v/>
      </c>
      <c r="H15" s="74">
        <f>IF('Tableau'!J40="","",'Tableau'!J40)</f>
        <v/>
      </c>
      <c r="I15" s="74">
        <f>IF('Tableau'!K40="","",'Tableau'!K40)</f>
        <v/>
      </c>
      <c r="J15" s="74">
        <f>IF('Tableau'!L40="","",'Tableau'!L40)</f>
        <v/>
      </c>
      <c r="K15" s="74">
        <f>IF('Tableau'!M40="","",'Tableau'!M40)</f>
        <v/>
      </c>
      <c r="L15" s="74">
        <f>'Tableau'!O2</f>
        <v/>
      </c>
      <c r="M15" s="74" t="inlineStr"/>
    </row>
    <row r="16">
      <c r="A16" s="74">
        <f>IF('Tableau'!A41="","",'Tableau'!A41)</f>
        <v/>
      </c>
      <c r="B16" s="74">
        <f>IF('Tableau'!B41="","",'Tableau'!B41)</f>
        <v/>
      </c>
      <c r="C16" s="74" t="n">
        <v>1</v>
      </c>
      <c r="D16" s="74">
        <f>IF('Tableau'!E41="","",'Tableau'!E41)</f>
        <v/>
      </c>
      <c r="E16" s="74">
        <f>IF('Tableau'!G41="","",'Tableau'!G41)</f>
        <v/>
      </c>
      <c r="F16" s="74">
        <f>IF('Tableau'!H41="","",'Tableau'!H41)</f>
        <v/>
      </c>
      <c r="G16" s="74">
        <f>IF('Tableau'!I41="","",'Tableau'!I41)</f>
        <v/>
      </c>
      <c r="H16" s="74">
        <f>IF('Tableau'!J41="","",'Tableau'!J41)</f>
        <v/>
      </c>
      <c r="I16" s="74">
        <f>IF('Tableau'!K41="","",'Tableau'!K41)</f>
        <v/>
      </c>
      <c r="J16" s="74">
        <f>IF('Tableau'!L41="","",'Tableau'!L41)</f>
        <v/>
      </c>
      <c r="K16" s="74">
        <f>IF('Tableau'!M41="","",'Tableau'!M41)</f>
        <v/>
      </c>
      <c r="L16" s="74">
        <f>'Tableau'!O2</f>
        <v/>
      </c>
      <c r="M16" s="74" t="inlineStr"/>
    </row>
    <row r="17">
      <c r="A17" s="74">
        <f>IF('Tableau'!A42="","",'Tableau'!A42)</f>
        <v/>
      </c>
      <c r="B17" s="74">
        <f>IF('Tableau'!B42="","",'Tableau'!B42)</f>
        <v/>
      </c>
      <c r="C17" s="74" t="n">
        <v>1</v>
      </c>
      <c r="D17" s="74">
        <f>IF('Tableau'!E42="","",'Tableau'!E42)</f>
        <v/>
      </c>
      <c r="E17" s="74">
        <f>IF('Tableau'!G42="","",'Tableau'!G42)</f>
        <v/>
      </c>
      <c r="F17" s="74">
        <f>IF('Tableau'!H42="","",'Tableau'!H42)</f>
        <v/>
      </c>
      <c r="G17" s="74">
        <f>IF('Tableau'!I42="","",'Tableau'!I42)</f>
        <v/>
      </c>
      <c r="H17" s="74">
        <f>IF('Tableau'!J42="","",'Tableau'!J42)</f>
        <v/>
      </c>
      <c r="I17" s="74">
        <f>IF('Tableau'!K42="","",'Tableau'!K42)</f>
        <v/>
      </c>
      <c r="J17" s="74">
        <f>IF('Tableau'!L42="","",'Tableau'!L42)</f>
        <v/>
      </c>
      <c r="K17" s="74">
        <f>IF('Tableau'!M42="","",'Tableau'!M42)</f>
        <v/>
      </c>
      <c r="L17" s="74">
        <f>'Tableau'!O2</f>
        <v/>
      </c>
      <c r="M17" s="74" t="inlineStr"/>
    </row>
    <row r="18">
      <c r="A18" s="74">
        <f>IF('Tableau'!A43="","",'Tableau'!A43)</f>
        <v/>
      </c>
      <c r="B18" s="74">
        <f>IF('Tableau'!B43="","",'Tableau'!B43)</f>
        <v/>
      </c>
      <c r="C18" s="74" t="n">
        <v>1</v>
      </c>
      <c r="D18" s="74">
        <f>IF('Tableau'!E43="","",'Tableau'!E43)</f>
        <v/>
      </c>
      <c r="E18" s="74">
        <f>IF('Tableau'!G43="","",'Tableau'!G43)</f>
        <v/>
      </c>
      <c r="F18" s="74">
        <f>IF('Tableau'!H43="","",'Tableau'!H43)</f>
        <v/>
      </c>
      <c r="G18" s="74">
        <f>IF('Tableau'!I43="","",'Tableau'!I43)</f>
        <v/>
      </c>
      <c r="H18" s="74">
        <f>IF('Tableau'!J43="","",'Tableau'!J43)</f>
        <v/>
      </c>
      <c r="I18" s="74">
        <f>IF('Tableau'!K43="","",'Tableau'!K43)</f>
        <v/>
      </c>
      <c r="J18" s="74">
        <f>IF('Tableau'!L43="","",'Tableau'!L43)</f>
        <v/>
      </c>
      <c r="K18" s="74">
        <f>IF('Tableau'!M43="","",'Tableau'!M43)</f>
        <v/>
      </c>
      <c r="L18" s="74">
        <f>'Tableau'!O2</f>
        <v/>
      </c>
      <c r="M18" s="74" t="inlineStr"/>
    </row>
    <row r="19">
      <c r="A19" s="74">
        <f>IF('Tableau'!A44="","",'Tableau'!A44)</f>
        <v/>
      </c>
      <c r="B19" s="74">
        <f>IF('Tableau'!B44="","",'Tableau'!B44)</f>
        <v/>
      </c>
      <c r="C19" s="74" t="n">
        <v>1</v>
      </c>
      <c r="D19" s="74">
        <f>IF('Tableau'!E44="","",'Tableau'!E44)</f>
        <v/>
      </c>
      <c r="E19" s="74">
        <f>IF('Tableau'!G44="","",'Tableau'!G44)</f>
        <v/>
      </c>
      <c r="F19" s="74">
        <f>IF('Tableau'!H44="","",'Tableau'!H44)</f>
        <v/>
      </c>
      <c r="G19" s="74">
        <f>IF('Tableau'!I44="","",'Tableau'!I44)</f>
        <v/>
      </c>
      <c r="H19" s="74">
        <f>IF('Tableau'!J44="","",'Tableau'!J44)</f>
        <v/>
      </c>
      <c r="I19" s="74">
        <f>IF('Tableau'!K44="","",'Tableau'!K44)</f>
        <v/>
      </c>
      <c r="J19" s="74">
        <f>IF('Tableau'!L44="","",'Tableau'!L44)</f>
        <v/>
      </c>
      <c r="K19" s="74">
        <f>IF('Tableau'!M44="","",'Tableau'!M44)</f>
        <v/>
      </c>
      <c r="L19" s="74">
        <f>'Tableau'!O2</f>
        <v/>
      </c>
      <c r="M19" s="74" t="inlineStr"/>
    </row>
    <row r="21">
      <c r="A21" s="55" t="inlineStr">
        <is>
          <t>Hinweis: Dieses Blatt als CSV speichern. Falls ClubCloud den Import ablehnt, CSV ohne UTF-8-BOM speichern.</t>
        </is>
      </c>
      <c r="B21" s="78" t="n"/>
      <c r="C21" s="78" t="n"/>
      <c r="D21" s="78" t="n"/>
      <c r="E21" s="78" t="n"/>
      <c r="F21" s="78" t="n"/>
      <c r="G21" s="78" t="n"/>
      <c r="H21" s="78" t="n"/>
      <c r="I21" s="78" t="n"/>
      <c r="J21" s="78" t="n"/>
      <c r="K21" s="78" t="n"/>
      <c r="L21" s="78" t="n"/>
      <c r="M21" s="79" t="n"/>
    </row>
  </sheetData>
  <mergeCells count="1">
    <mergeCell ref="A21:M21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MartinWitt</dc:creator>
  <dc:title xmlns:dc="http://purl.org/dc/elements/1.1/">6er Endrunde</dc:title>
  <dc:subject xmlns:dc="http://purl.org/dc/elements/1.1/">Tableau &amp; Ansetzung</dc:subject>
  <dcterms:created xmlns:dcterms="http://purl.org/dc/terms/" xmlns:xsi="http://www.w3.org/2001/XMLSchema-instance" xsi:type="dcterms:W3CDTF">1999-09-29T12:14:55Z</dcterms:created>
  <dcterms:modified xmlns:dcterms="http://purl.org/dc/terms/" xmlns:xsi="http://www.w3.org/2001/XMLSchema-instance" xsi:type="dcterms:W3CDTF">2026-08-16T17:40:15Z</dcterms:modified>
  <cp:lastModifiedBy>Hans Benkert</cp:lastModifiedBy>
  <cp:revision>0</cp:revision>
  <cp:lastPrinted>2008-02-17T10:52:47Z</cp:lastPrinted>
</cp:coreProperties>
</file>

<file path=docProps/custom.xml><?xml version="1.0" encoding="utf-8"?>
<Properties xmlns="http://schemas.openxmlformats.org/officeDocument/2006/custom-properties">
  <property name="_AdHocReviewCycleID" fmtid="{D5CDD505-2E9C-101B-9397-08002B2CF9AE}" pid="2">
    <vt:i4 xmlns:vt="http://schemas.openxmlformats.org/officeDocument/2006/docPropsVTypes">-973240657</vt:i4>
  </property>
  <property name="_AuthorEmail" fmtid="{D5CDD505-2E9C-101B-9397-08002B2CF9AE}" pid="3">
    <vt:lpwstr xmlns:vt="http://schemas.openxmlformats.org/officeDocument/2006/docPropsVTypes">nbv-sportwart@billard-hamburg.de</vt:lpwstr>
  </property>
  <property name="_AuthorEmailDisplayName" fmtid="{D5CDD505-2E9C-101B-9397-08002B2CF9AE}" pid="4">
    <vt:lpwstr xmlns:vt="http://schemas.openxmlformats.org/officeDocument/2006/docPropsVTypes">NBV Sportwart</vt:lpwstr>
  </property>
  <property name="_EmailSubject" fmtid="{D5CDD505-2E9C-101B-9397-08002B2CF9AE}" pid="5">
    <vt:lpwstr xmlns:vt="http://schemas.openxmlformats.org/officeDocument/2006/docPropsVTypes">Turnierprotokolle für Meisterschaften</vt:lpwstr>
  </property>
  <property name="_ReviewingToolsShownOnce" fmtid="{D5CDD505-2E9C-101B-9397-08002B2CF9AE}" pid="6">
    <vt:lpwstr xmlns:vt="http://schemas.openxmlformats.org/officeDocument/2006/docPropsVTypes"/>
  </property>
</Properties>
</file>