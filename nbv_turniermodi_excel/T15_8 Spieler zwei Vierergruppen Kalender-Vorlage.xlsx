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philippjuede/Documents/billard-scoreboard-main/nbv_turniermodi_excel/"/>
    </mc:Choice>
  </mc:AlternateContent>
  <xr:revisionPtr revIDLastSave="0" documentId="13_ncr:1_{2AED8B0A-31B7-EF41-BFCE-1C80677EE0D2}" xr6:coauthVersionLast="47" xr6:coauthVersionMax="47" xr10:uidLastSave="{00000000-0000-0000-0000-000000000000}"/>
  <bookViews>
    <workbookView xWindow="0" yWindow="680" windowWidth="29400" windowHeight="17320" tabRatio="868" xr2:uid="{00000000-000D-0000-FFFF-FFFF00000000}"/>
  </bookViews>
  <sheets>
    <sheet name="Tableau" sheetId="1" r:id="rId1"/>
    <sheet name="Teilnehmer" sheetId="2" r:id="rId2"/>
    <sheet name="CSV Export" sheetId="3" r:id="rId3"/>
  </sheets>
  <definedNames>
    <definedName name="_xlnm.Print_Area" localSheetId="2">'CSV Export'!$A$1:$M$21</definedName>
    <definedName name="_xlnm.Print_Area" localSheetId="0">Tableau!$A$1:$O$44</definedName>
    <definedName name="_xlnm.Print_Area" localSheetId="1">Teilnehmer!$A$1:$F$11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3" l="1"/>
  <c r="J19" i="3"/>
  <c r="I19" i="3"/>
  <c r="H19" i="3"/>
  <c r="G19" i="3"/>
  <c r="F19" i="3"/>
  <c r="E19" i="3"/>
  <c r="D19" i="3"/>
  <c r="B19" i="3"/>
  <c r="A19" i="3"/>
  <c r="K18" i="3"/>
  <c r="J18" i="3"/>
  <c r="I18" i="3"/>
  <c r="H18" i="3"/>
  <c r="G18" i="3"/>
  <c r="F18" i="3"/>
  <c r="E18" i="3"/>
  <c r="D18" i="3"/>
  <c r="B18" i="3"/>
  <c r="A18" i="3"/>
  <c r="K17" i="3"/>
  <c r="J17" i="3"/>
  <c r="I17" i="3"/>
  <c r="H17" i="3"/>
  <c r="G17" i="3"/>
  <c r="F17" i="3"/>
  <c r="E17" i="3"/>
  <c r="D17" i="3"/>
  <c r="B17" i="3"/>
  <c r="A17" i="3"/>
  <c r="K16" i="3"/>
  <c r="J16" i="3"/>
  <c r="I16" i="3"/>
  <c r="H16" i="3"/>
  <c r="G16" i="3"/>
  <c r="F16" i="3"/>
  <c r="E16" i="3"/>
  <c r="D16" i="3"/>
  <c r="B16" i="3"/>
  <c r="A16" i="3"/>
  <c r="K15" i="3"/>
  <c r="J15" i="3"/>
  <c r="I15" i="3"/>
  <c r="H15" i="3"/>
  <c r="G15" i="3"/>
  <c r="F15" i="3"/>
  <c r="E15" i="3"/>
  <c r="D15" i="3"/>
  <c r="B15" i="3"/>
  <c r="A15" i="3"/>
  <c r="K14" i="3"/>
  <c r="J14" i="3"/>
  <c r="I14" i="3"/>
  <c r="H14" i="3"/>
  <c r="G14" i="3"/>
  <c r="F14" i="3"/>
  <c r="E14" i="3"/>
  <c r="D14" i="3"/>
  <c r="B14" i="3"/>
  <c r="A14" i="3"/>
  <c r="K13" i="3"/>
  <c r="J13" i="3"/>
  <c r="I13" i="3"/>
  <c r="H13" i="3"/>
  <c r="G13" i="3"/>
  <c r="F13" i="3"/>
  <c r="E13" i="3"/>
  <c r="D13" i="3"/>
  <c r="K12" i="3"/>
  <c r="J12" i="3"/>
  <c r="I12" i="3"/>
  <c r="H12" i="3"/>
  <c r="G12" i="3"/>
  <c r="F12" i="3"/>
  <c r="E12" i="3"/>
  <c r="D12" i="3"/>
  <c r="K11" i="3"/>
  <c r="J11" i="3"/>
  <c r="I11" i="3"/>
  <c r="H11" i="3"/>
  <c r="G11" i="3"/>
  <c r="F11" i="3"/>
  <c r="E11" i="3"/>
  <c r="D11" i="3"/>
  <c r="K10" i="3"/>
  <c r="J10" i="3"/>
  <c r="I10" i="3"/>
  <c r="H10" i="3"/>
  <c r="G10" i="3"/>
  <c r="F10" i="3"/>
  <c r="E10" i="3"/>
  <c r="D10" i="3"/>
  <c r="K9" i="3"/>
  <c r="J9" i="3"/>
  <c r="I9" i="3"/>
  <c r="H9" i="3"/>
  <c r="G9" i="3"/>
  <c r="F9" i="3"/>
  <c r="E9" i="3"/>
  <c r="D9" i="3"/>
  <c r="K8" i="3"/>
  <c r="J8" i="3"/>
  <c r="I8" i="3"/>
  <c r="H8" i="3"/>
  <c r="G8" i="3"/>
  <c r="F8" i="3"/>
  <c r="E8" i="3"/>
  <c r="D8" i="3"/>
  <c r="K7" i="3"/>
  <c r="J7" i="3"/>
  <c r="I7" i="3"/>
  <c r="H7" i="3"/>
  <c r="G7" i="3"/>
  <c r="F7" i="3"/>
  <c r="E7" i="3"/>
  <c r="D7" i="3"/>
  <c r="K6" i="3"/>
  <c r="J6" i="3"/>
  <c r="I6" i="3"/>
  <c r="H6" i="3"/>
  <c r="G6" i="3"/>
  <c r="F6" i="3"/>
  <c r="E6" i="3"/>
  <c r="D6" i="3"/>
  <c r="K5" i="3"/>
  <c r="J5" i="3"/>
  <c r="I5" i="3"/>
  <c r="H5" i="3"/>
  <c r="G5" i="3"/>
  <c r="F5" i="3"/>
  <c r="E5" i="3"/>
  <c r="D5" i="3"/>
  <c r="K4" i="3"/>
  <c r="J4" i="3"/>
  <c r="I4" i="3"/>
  <c r="H4" i="3"/>
  <c r="G4" i="3"/>
  <c r="F4" i="3"/>
  <c r="E4" i="3"/>
  <c r="D4" i="3"/>
  <c r="K3" i="3"/>
  <c r="J3" i="3"/>
  <c r="I3" i="3"/>
  <c r="H3" i="3"/>
  <c r="G3" i="3"/>
  <c r="F3" i="3"/>
  <c r="E3" i="3"/>
  <c r="D3" i="3"/>
  <c r="K2" i="3"/>
  <c r="J2" i="3"/>
  <c r="I2" i="3"/>
  <c r="H2" i="3"/>
  <c r="G2" i="3"/>
  <c r="F2" i="3"/>
  <c r="E2" i="3"/>
  <c r="D2" i="3"/>
  <c r="F33" i="1"/>
  <c r="D33" i="1"/>
  <c r="B33" i="1"/>
  <c r="F32" i="1"/>
  <c r="D32" i="1"/>
  <c r="B32" i="1"/>
  <c r="J31" i="1"/>
  <c r="L31" i="1" s="1"/>
  <c r="A31" i="1"/>
  <c r="H30" i="1"/>
  <c r="D30" i="1"/>
  <c r="B30" i="1"/>
  <c r="H29" i="1"/>
  <c r="D29" i="1"/>
  <c r="B29" i="1"/>
  <c r="J28" i="1"/>
  <c r="O28" i="1" s="1"/>
  <c r="A28" i="1"/>
  <c r="H27" i="1"/>
  <c r="F27" i="1"/>
  <c r="B27" i="1"/>
  <c r="H26" i="1"/>
  <c r="F26" i="1"/>
  <c r="B26" i="1"/>
  <c r="J25" i="1"/>
  <c r="P25" i="1" s="1"/>
  <c r="A25" i="1"/>
  <c r="H24" i="1"/>
  <c r="F24" i="1"/>
  <c r="D24" i="1"/>
  <c r="H23" i="1"/>
  <c r="F23" i="1"/>
  <c r="D23" i="1"/>
  <c r="J22" i="1"/>
  <c r="P22" i="1" s="1"/>
  <c r="A22" i="1"/>
  <c r="H21" i="1"/>
  <c r="F21" i="1"/>
  <c r="D21" i="1"/>
  <c r="B21" i="1"/>
  <c r="F17" i="1"/>
  <c r="D17" i="1"/>
  <c r="B17" i="1"/>
  <c r="F16" i="1"/>
  <c r="D16" i="1"/>
  <c r="B16" i="1"/>
  <c r="J15" i="1"/>
  <c r="P15" i="1" s="1"/>
  <c r="A15" i="1"/>
  <c r="H14" i="1"/>
  <c r="D14" i="1"/>
  <c r="B14" i="1"/>
  <c r="H13" i="1"/>
  <c r="D13" i="1"/>
  <c r="B13" i="1"/>
  <c r="J12" i="1"/>
  <c r="N12" i="1" s="1"/>
  <c r="A12" i="1"/>
  <c r="H11" i="1"/>
  <c r="F11" i="1"/>
  <c r="B11" i="1"/>
  <c r="H10" i="1"/>
  <c r="F10" i="1"/>
  <c r="B10" i="1"/>
  <c r="J9" i="1"/>
  <c r="L9" i="1" s="1"/>
  <c r="A9" i="1"/>
  <c r="H8" i="1"/>
  <c r="F8" i="1"/>
  <c r="D8" i="1"/>
  <c r="H7" i="1"/>
  <c r="F7" i="1"/>
  <c r="D7" i="1"/>
  <c r="J6" i="1"/>
  <c r="N6" i="1" s="1"/>
  <c r="A6" i="1"/>
  <c r="H5" i="1"/>
  <c r="F5" i="1"/>
  <c r="D5" i="1"/>
  <c r="B5" i="1"/>
  <c r="O2" i="1"/>
  <c r="L19" i="3" s="1"/>
  <c r="K6" i="1" l="1"/>
  <c r="P12" i="1"/>
  <c r="N25" i="1"/>
  <c r="L6" i="1"/>
  <c r="M6" i="1" s="1"/>
  <c r="O6" i="1"/>
  <c r="P6" i="1"/>
  <c r="K12" i="1"/>
  <c r="L12" i="1"/>
  <c r="M12" i="1" s="1"/>
  <c r="O12" i="1"/>
  <c r="L22" i="1"/>
  <c r="N22" i="1"/>
  <c r="N15" i="1"/>
  <c r="O22" i="1"/>
  <c r="K28" i="1"/>
  <c r="P28" i="1"/>
  <c r="K22" i="1"/>
  <c r="L8" i="3"/>
  <c r="L14" i="3"/>
  <c r="L28" i="1"/>
  <c r="N31" i="1"/>
  <c r="L9" i="3"/>
  <c r="L17" i="3"/>
  <c r="N9" i="1"/>
  <c r="K15" i="1"/>
  <c r="K25" i="1"/>
  <c r="O31" i="1"/>
  <c r="L2" i="3"/>
  <c r="L10" i="3"/>
  <c r="O9" i="1"/>
  <c r="P9" i="1"/>
  <c r="L15" i="1"/>
  <c r="L25" i="1"/>
  <c r="N28" i="1"/>
  <c r="P31" i="1"/>
  <c r="L3" i="3"/>
  <c r="L11" i="3"/>
  <c r="L15" i="3"/>
  <c r="L4" i="3"/>
  <c r="L12" i="3"/>
  <c r="L18" i="3"/>
  <c r="L5" i="3"/>
  <c r="L13" i="3"/>
  <c r="K9" i="1"/>
  <c r="M9" i="1" s="1"/>
  <c r="O15" i="1"/>
  <c r="O25" i="1"/>
  <c r="K31" i="1"/>
  <c r="M31" i="1" s="1"/>
  <c r="L6" i="3"/>
  <c r="L16" i="3"/>
  <c r="L7" i="3"/>
  <c r="M22" i="1" l="1"/>
  <c r="M28" i="1"/>
  <c r="M25" i="1"/>
  <c r="M15" i="1"/>
</calcChain>
</file>

<file path=xl/sharedStrings.xml><?xml version="1.0" encoding="utf-8"?>
<sst xmlns="http://schemas.openxmlformats.org/spreadsheetml/2006/main" count="130" uniqueCount="58">
  <si>
    <t>2=gewonnen     1=unentschieden</t>
  </si>
  <si>
    <t>Ausrichter :</t>
  </si>
  <si>
    <t>BGH</t>
  </si>
  <si>
    <t>0=verloren</t>
  </si>
  <si>
    <t>Datum :</t>
  </si>
  <si>
    <t>Gruppe 1</t>
  </si>
  <si>
    <t>Name</t>
  </si>
  <si>
    <t>Partie-punkte</t>
  </si>
  <si>
    <t>Bälle</t>
  </si>
  <si>
    <t>Aufn.</t>
  </si>
  <si>
    <t>GD</t>
  </si>
  <si>
    <t>HS</t>
  </si>
  <si>
    <t>Platz</t>
  </si>
  <si>
    <t>Partiepunkte</t>
  </si>
  <si>
    <t>DS</t>
  </si>
  <si>
    <t>Gruppe 2</t>
  </si>
  <si>
    <t>Final- und Platzierungsspiele</t>
  </si>
  <si>
    <t>Runde</t>
  </si>
  <si>
    <t>Partie</t>
  </si>
  <si>
    <t>Tisch</t>
  </si>
  <si>
    <t>Spieler 1</t>
  </si>
  <si>
    <t>Pass 1</t>
  </si>
  <si>
    <t>Spieler 2</t>
  </si>
  <si>
    <t>Pass 2</t>
  </si>
  <si>
    <t>Punkte 1</t>
  </si>
  <si>
    <t>Punkte 2</t>
  </si>
  <si>
    <t>Aufn. 1</t>
  </si>
  <si>
    <t>Aufn. 2</t>
  </si>
  <si>
    <t>HS 1</t>
  </si>
  <si>
    <t>HS 2</t>
  </si>
  <si>
    <t>Halbfinale 1 über Kreuz</t>
  </si>
  <si>
    <t>Halbfinale 2 über Kreuz</t>
  </si>
  <si>
    <t>Platz 7-8</t>
  </si>
  <si>
    <t>Platz 5-6</t>
  </si>
  <si>
    <t>Finale</t>
  </si>
  <si>
    <t>Platz 3-4</t>
  </si>
  <si>
    <t>Setzposition</t>
  </si>
  <si>
    <t>Spieler</t>
  </si>
  <si>
    <t>Passnummer</t>
  </si>
  <si>
    <t>Gruppe</t>
  </si>
  <si>
    <t>Gruppenposition</t>
  </si>
  <si>
    <t>Hinweis</t>
  </si>
  <si>
    <t>Name und Passnummer hier eintragen</t>
  </si>
  <si>
    <t>Diese acht Namen werden automatisch in das Tableau übernommen. CSV Export verwendet die Passnummern.</t>
  </si>
  <si>
    <t>GRUPPE/RUNDE</t>
  </si>
  <si>
    <t>PARTIE</t>
  </si>
  <si>
    <t>SATZ-NR.</t>
  </si>
  <si>
    <t>PASS-NR. SPIELER 1</t>
  </si>
  <si>
    <t>PASS-NR. SPIELER 2</t>
  </si>
  <si>
    <t>PUNKTE SPIELER 1</t>
  </si>
  <si>
    <t>PUNKTE SPIELER 2</t>
  </si>
  <si>
    <t>AUFNAHMEN SPIELER 1</t>
  </si>
  <si>
    <t>AUFNAHMEN SPIELER 2</t>
  </si>
  <si>
    <t>HÖCHSTSERIE SPIELER 1</t>
  </si>
  <si>
    <t>HÖCHSTSERIE SPIELER 2</t>
  </si>
  <si>
    <t>DATUM</t>
  </si>
  <si>
    <t>UHRZEIT</t>
  </si>
  <si>
    <t>Hinweis: Dieses Blatt als CSV speichern. Falls ClubCloud den Import ablehnt, CSV ohne UTF-8-BOM speichern.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</si>
</sst>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\.mm\.yyyy"/>
  </numFmts>
  <fonts count="6" x14ac:knownFonts="1">
    <font>
      <sz val="10"/>
      <name val="Arial"/>
      <family val="2"/>
    </font>
    <font>
      <u/>
      <sz val="10"/>
      <color indexed="12"/>
      <name val="Arial"/>
      <family val="2"/>
    </font>
    <font>
      <b/>
      <sz val="10"/>
      <name val="Arial"/>
      <family val="2"/>
    </font>
    <font>
      <b/>
      <u/>
      <sz val="20"/>
      <name val="Times New Roman"/>
      <family val="1"/>
    </font>
    <font>
      <b/>
      <sz val="9"/>
      <name val="Arial"/>
      <family val="2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2937"/>
      </patternFill>
    </fill>
    <fill>
      <patternFill patternType="solid">
        <fgColor rgb="FFE2F0D9"/>
      </patternFill>
    </fill>
    <fill>
      <patternFill patternType="solid">
        <fgColor rgb="FFBFBFBF"/>
      </patternFill>
    </fill>
  </fills>
  <borders count="16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4">
    <xf numFmtId="0" fontId="0" fillId="0" borderId="0" xfId="0"/>
    <xf numFmtId="0" fontId="2" fillId="0" borderId="0" xfId="0" applyFont="1" applyAlignment="1">
      <alignment horizontal="justify" vertical="center"/>
    </xf>
    <xf numFmtId="0" fontId="2" fillId="0" borderId="0" xfId="0" applyFont="1" applyAlignment="1">
      <alignment horizontal="right" vertical="center"/>
    </xf>
    <xf numFmtId="0" fontId="2" fillId="3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>
      <alignment horizontal="center" vertical="center" wrapText="1"/>
    </xf>
    <xf numFmtId="165" fontId="2" fillId="3" borderId="0" xfId="0" applyNumberFormat="1" applyFont="1" applyFill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0" fillId="5" borderId="7" xfId="0" applyFill="1" applyBorder="1" applyAlignment="1" applyProtection="1">
      <alignment horizontal="center" vertical="center" wrapText="1"/>
      <protection locked="0"/>
    </xf>
    <xf numFmtId="164" fontId="0" fillId="0" borderId="7" xfId="0" applyNumberFormat="1" applyBorder="1" applyAlignment="1">
      <alignment horizontal="center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5" borderId="7" xfId="0" applyFill="1" applyBorder="1" applyAlignment="1" applyProtection="1">
      <alignment horizontal="left" vertical="center" wrapText="1"/>
      <protection locked="0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3" xfId="0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0" fillId="0" borderId="0" xfId="0"/>
    <xf numFmtId="0" fontId="2" fillId="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" xfId="0" applyBorder="1"/>
    <xf numFmtId="0" fontId="2" fillId="0" borderId="7" xfId="0" applyFont="1" applyBorder="1" applyAlignment="1">
      <alignment horizontal="center" vertical="center" wrapText="1"/>
    </xf>
    <xf numFmtId="0" fontId="0" fillId="0" borderId="6" xfId="0" applyBorder="1"/>
    <xf numFmtId="0" fontId="2" fillId="0" borderId="1" xfId="0" applyFont="1" applyBorder="1" applyAlignment="1">
      <alignment horizontal="center" vertical="center"/>
    </xf>
    <xf numFmtId="0" fontId="3" fillId="3" borderId="2" xfId="0" applyFont="1" applyFill="1" applyBorder="1" applyAlignment="1" applyProtection="1">
      <alignment horizontal="center"/>
      <protection locked="0"/>
    </xf>
    <xf numFmtId="0" fontId="0" fillId="0" borderId="3" xfId="0" applyBorder="1" applyAlignment="1">
      <alignment vertical="center"/>
    </xf>
    <xf numFmtId="0" fontId="0" fillId="0" borderId="4" xfId="0" applyBorder="1"/>
    <xf numFmtId="0" fontId="0" fillId="0" borderId="5" xfId="0" applyBorder="1"/>
    <xf numFmtId="0" fontId="0" fillId="5" borderId="8" xfId="0" applyFill="1" applyBorder="1" applyAlignment="1" applyProtection="1">
      <alignment horizontal="center" vertical="center" wrapText="1"/>
      <protection locked="0"/>
    </xf>
    <xf numFmtId="0" fontId="0" fillId="0" borderId="8" xfId="0" applyBorder="1"/>
    <xf numFmtId="0" fontId="4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0" fontId="2" fillId="6" borderId="8" xfId="0" applyFont="1" applyFill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" fontId="0" fillId="0" borderId="13" xfId="0" applyNumberFormat="1" applyBorder="1" applyAlignment="1">
      <alignment horizontal="center" vertical="center" wrapText="1"/>
    </xf>
    <xf numFmtId="164" fontId="0" fillId="0" borderId="13" xfId="0" applyNumberFormat="1" applyBorder="1" applyAlignment="1">
      <alignment horizontal="center" vertical="center" wrapText="1"/>
    </xf>
  </cellXfs>
  <cellStyles count="2">
    <cellStyle name="Hyperlink" xfId="1" xr:uid="{00000000-0005-0000-0000-000001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45"/>
  <sheetViews>
    <sheetView showGridLines="0" tabSelected="1" zoomScale="150" workbookViewId="0">
      <pane ySplit="3" topLeftCell="A31" activePane="bottomLeft" state="frozen"/>
      <selection pane="bottomLeft" activeCell="J31" sqref="J31:J33"/>
    </sheetView>
  </sheetViews>
  <sheetFormatPr baseColWidth="10" defaultColWidth="8.83203125" defaultRowHeight="13" x14ac:dyDescent="0.15"/>
  <cols>
    <col min="1" max="1" width="16" customWidth="1"/>
    <col min="2" max="9" width="8" customWidth="1"/>
    <col min="10" max="10" width="13" customWidth="1"/>
    <col min="11" max="13" width="10" customWidth="1"/>
    <col min="14" max="15" width="8" customWidth="1"/>
    <col min="16" max="16" width="10" hidden="1" customWidth="1"/>
  </cols>
  <sheetData>
    <row r="1" spans="1:16" ht="22" customHeight="1" x14ac:dyDescent="0.25">
      <c r="A1" s="1" t="s">
        <v>0</v>
      </c>
      <c r="B1" s="1"/>
      <c r="C1" s="1"/>
      <c r="D1" s="26"/>
      <c r="E1" s="19"/>
      <c r="F1" s="19"/>
      <c r="G1" s="19"/>
      <c r="H1" s="19"/>
      <c r="I1" s="19"/>
      <c r="J1" s="19"/>
      <c r="K1" s="19"/>
      <c r="L1" s="1"/>
      <c r="M1" s="1"/>
      <c r="N1" s="2" t="s">
        <v>1</v>
      </c>
      <c r="O1" s="3" t="s">
        <v>2</v>
      </c>
      <c r="P1" s="1"/>
    </row>
    <row r="2" spans="1:16" ht="22" customHeight="1" x14ac:dyDescent="0.15">
      <c r="A2" s="1" t="s">
        <v>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" t="s">
        <v>4</v>
      </c>
      <c r="O2" s="5">
        <f ca="1">TODAY()</f>
        <v>46250</v>
      </c>
      <c r="P2" s="1"/>
    </row>
    <row r="3" spans="1:16" ht="22" customHeight="1" x14ac:dyDescent="0.15"/>
    <row r="4" spans="1:16" ht="24" customHeight="1" thickBot="1" x14ac:dyDescent="0.2">
      <c r="A4" s="25" t="s">
        <v>5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6" ht="22" customHeight="1" thickBot="1" x14ac:dyDescent="0.2">
      <c r="A5" s="6" t="s">
        <v>6</v>
      </c>
      <c r="B5" s="23" t="str">
        <f>IF(Teilnehmer!B2="","",Teilnehmer!B2)</f>
        <v/>
      </c>
      <c r="C5" s="24"/>
      <c r="D5" s="23" t="str">
        <f>IF(Teilnehmer!B5="","",Teilnehmer!B5)</f>
        <v/>
      </c>
      <c r="E5" s="24"/>
      <c r="F5" s="23" t="str">
        <f>IF(Teilnehmer!B6="","",Teilnehmer!B6)</f>
        <v/>
      </c>
      <c r="G5" s="24"/>
      <c r="H5" s="23" t="str">
        <f>IF(Teilnehmer!B9="","",Teilnehmer!B9)</f>
        <v/>
      </c>
      <c r="I5" s="24"/>
      <c r="J5" s="32" t="s">
        <v>7</v>
      </c>
      <c r="K5" s="32" t="s">
        <v>8</v>
      </c>
      <c r="L5" s="32" t="s">
        <v>9</v>
      </c>
      <c r="M5" s="32" t="s">
        <v>10</v>
      </c>
      <c r="N5" s="32" t="s">
        <v>11</v>
      </c>
      <c r="O5" s="32" t="s">
        <v>12</v>
      </c>
    </row>
    <row r="6" spans="1:16" ht="24" customHeight="1" thickBot="1" x14ac:dyDescent="0.2">
      <c r="A6" s="23" t="str">
        <f>IF(Teilnehmer!B2="","",Teilnehmer!B2)</f>
        <v/>
      </c>
      <c r="B6" s="8" t="s">
        <v>8</v>
      </c>
      <c r="C6" s="8" t="s">
        <v>9</v>
      </c>
      <c r="D6" s="9"/>
      <c r="E6" s="9"/>
      <c r="F6" s="9"/>
      <c r="G6" s="9"/>
      <c r="H6" s="9"/>
      <c r="I6" s="30"/>
      <c r="J6" s="33" t="str">
        <f>IF(COUNTA(D6,F6,H6)=0,"",SUM(D7,F7,H7))</f>
        <v/>
      </c>
      <c r="K6" s="37" t="str">
        <f>IF(J6="","",SUM(D6,F6,H6))</f>
        <v/>
      </c>
      <c r="L6" s="37" t="str">
        <f>IF(J6="","",SUM(E6,G6,I6))</f>
        <v/>
      </c>
      <c r="M6" s="38" t="e">
        <f>IF(L6&gt;0,TRUNC(K6/L6,3),"")</f>
        <v>#VALUE!</v>
      </c>
      <c r="N6" s="37" t="str">
        <f>IF(J6="","",MAX(E8,G8,I8))</f>
        <v/>
      </c>
      <c r="O6" s="37" t="str">
        <f>IF(J6="","",RANK(P6,($P$6,$P$9,$P$12,$P$15),0))</f>
        <v/>
      </c>
      <c r="P6" t="str">
        <f>IF(J6="","",J6*1000000+M6*1000+K6)</f>
        <v/>
      </c>
    </row>
    <row r="7" spans="1:16" ht="24" customHeight="1" thickBot="1" x14ac:dyDescent="0.2">
      <c r="A7" s="22"/>
      <c r="B7" s="20" t="s">
        <v>13</v>
      </c>
      <c r="C7" s="19"/>
      <c r="D7" s="21" t="str">
        <f>IF(OR(D6="",B9=""),"",IF(D6&gt;B9,2,IF(D6&lt;B9,0,1)))</f>
        <v/>
      </c>
      <c r="E7" s="22"/>
      <c r="F7" s="21" t="str">
        <f>IF(OR(F6="",B12=""),"",IF(F6&gt;B12,2,IF(F6&lt;B12,0,1)))</f>
        <v/>
      </c>
      <c r="G7" s="22"/>
      <c r="H7" s="21" t="str">
        <f>IF(OR(H6="",B15=""),"",IF(H6&gt;B15,2,IF(H6&lt;B15,0,1)))</f>
        <v/>
      </c>
      <c r="I7" s="31"/>
      <c r="J7" s="34"/>
      <c r="K7" s="34"/>
      <c r="L7" s="34"/>
      <c r="M7" s="34"/>
      <c r="N7" s="34"/>
      <c r="O7" s="34"/>
    </row>
    <row r="8" spans="1:16" ht="24" customHeight="1" thickBot="1" x14ac:dyDescent="0.2">
      <c r="A8" s="22"/>
      <c r="B8" s="8" t="s">
        <v>14</v>
      </c>
      <c r="C8" s="8" t="s">
        <v>11</v>
      </c>
      <c r="D8" s="10" t="str">
        <f>IF(E6&gt;0,TRUNC(D6/E6,3),"")</f>
        <v/>
      </c>
      <c r="E8" s="9"/>
      <c r="F8" s="10" t="str">
        <f>IF(G6&gt;0,TRUNC(F6/G6,3),"")</f>
        <v/>
      </c>
      <c r="G8" s="9"/>
      <c r="H8" s="10" t="str">
        <f>IF(I6&gt;0,TRUNC(H6/I6,3),"")</f>
        <v/>
      </c>
      <c r="I8" s="30"/>
      <c r="J8" s="35"/>
      <c r="K8" s="35"/>
      <c r="L8" s="35"/>
      <c r="M8" s="35"/>
      <c r="N8" s="35"/>
      <c r="O8" s="35"/>
    </row>
    <row r="9" spans="1:16" ht="24" customHeight="1" thickBot="1" x14ac:dyDescent="0.2">
      <c r="A9" s="23" t="str">
        <f>IF(Teilnehmer!B5="","",Teilnehmer!B5)</f>
        <v/>
      </c>
      <c r="B9" s="9"/>
      <c r="C9" s="9"/>
      <c r="D9" s="8" t="s">
        <v>8</v>
      </c>
      <c r="E9" s="8" t="s">
        <v>9</v>
      </c>
      <c r="F9" s="9"/>
      <c r="G9" s="9"/>
      <c r="H9" s="9"/>
      <c r="I9" s="30"/>
      <c r="J9" s="33" t="str">
        <f>IF(COUNTA(B9,F9,H9)=0,"",SUM(B10,F10,H10))</f>
        <v/>
      </c>
      <c r="K9" s="37" t="str">
        <f>IF(J9="","",SUM(B9,F9,H9))</f>
        <v/>
      </c>
      <c r="L9" s="37" t="str">
        <f>IF(J9="","",SUM(C9,G9,I9))</f>
        <v/>
      </c>
      <c r="M9" s="38" t="e">
        <f>IF(L9&gt;0,TRUNC(K9/L9,3),"")</f>
        <v>#VALUE!</v>
      </c>
      <c r="N9" s="37" t="str">
        <f>IF(J9="","",MAX(C11,G11,I11))</f>
        <v/>
      </c>
      <c r="O9" s="37" t="str">
        <f>IF(J9="","",RANK(P9,($P$6,$P$9,$P$12,$P$15),0))</f>
        <v/>
      </c>
      <c r="P9" t="str">
        <f>IF(J9="","",J9*1000000+M9*1000+K9)</f>
        <v/>
      </c>
    </row>
    <row r="10" spans="1:16" ht="24" customHeight="1" thickBot="1" x14ac:dyDescent="0.2">
      <c r="A10" s="22"/>
      <c r="B10" s="21" t="str">
        <f>IF(OR(B9="",D6=""),"",IF(B9&gt;D6,2,IF(B9&lt;D6,0,1)))</f>
        <v/>
      </c>
      <c r="C10" s="22"/>
      <c r="D10" s="20" t="s">
        <v>13</v>
      </c>
      <c r="E10" s="19"/>
      <c r="F10" s="21" t="str">
        <f>IF(OR(F9="",D12=""),"",IF(F9&gt;D12,2,IF(F9&lt;D12,0,1)))</f>
        <v/>
      </c>
      <c r="G10" s="22"/>
      <c r="H10" s="21" t="str">
        <f>IF(OR(H9="",D15=""),"",IF(H9&gt;D15,2,IF(H9&lt;D15,0,1)))</f>
        <v/>
      </c>
      <c r="I10" s="31"/>
      <c r="J10" s="34"/>
      <c r="K10" s="34"/>
      <c r="L10" s="34"/>
      <c r="M10" s="34"/>
      <c r="N10" s="34"/>
      <c r="O10" s="34"/>
    </row>
    <row r="11" spans="1:16" ht="24" customHeight="1" thickBot="1" x14ac:dyDescent="0.2">
      <c r="A11" s="22"/>
      <c r="B11" s="10" t="str">
        <f>IF(C9&gt;0,TRUNC(B9/C9,3),"")</f>
        <v/>
      </c>
      <c r="C11" s="9"/>
      <c r="D11" s="8" t="s">
        <v>14</v>
      </c>
      <c r="E11" s="8" t="s">
        <v>11</v>
      </c>
      <c r="F11" s="10" t="str">
        <f>IF(G9&gt;0,TRUNC(F9/G9,3),"")</f>
        <v/>
      </c>
      <c r="G11" s="9"/>
      <c r="H11" s="10" t="str">
        <f>IF(I9&gt;0,TRUNC(H9/I9,3),"")</f>
        <v/>
      </c>
      <c r="I11" s="30"/>
      <c r="J11" s="35"/>
      <c r="K11" s="35"/>
      <c r="L11" s="35"/>
      <c r="M11" s="35"/>
      <c r="N11" s="35"/>
      <c r="O11" s="35"/>
    </row>
    <row r="12" spans="1:16" ht="24" customHeight="1" thickBot="1" x14ac:dyDescent="0.2">
      <c r="A12" s="23" t="str">
        <f>IF(Teilnehmer!B6="","",Teilnehmer!B6)</f>
        <v/>
      </c>
      <c r="B12" s="9"/>
      <c r="C12" s="9"/>
      <c r="D12" s="9"/>
      <c r="E12" s="9"/>
      <c r="F12" s="8" t="s">
        <v>8</v>
      </c>
      <c r="G12" s="8" t="s">
        <v>9</v>
      </c>
      <c r="H12" s="9"/>
      <c r="I12" s="30"/>
      <c r="J12" s="33" t="str">
        <f>IF(COUNTA(B12,D12,H12)=0,"",SUM(B13,D13,H13))</f>
        <v/>
      </c>
      <c r="K12" s="37" t="str">
        <f>IF(J12="","",SUM(B12,D12,H12))</f>
        <v/>
      </c>
      <c r="L12" s="37" t="str">
        <f>IF(J12="","",SUM(C12,E12,I12))</f>
        <v/>
      </c>
      <c r="M12" s="38" t="e">
        <f>IF(L12&gt;0,TRUNC(K12/L12,3),"")</f>
        <v>#VALUE!</v>
      </c>
      <c r="N12" s="37" t="str">
        <f>IF(J12="","",MAX(C14,E14,I14))</f>
        <v/>
      </c>
      <c r="O12" s="37" t="str">
        <f>IF(J12="","",RANK(P12,($P$6,$P$9,$P$12,$P$15),0))</f>
        <v/>
      </c>
      <c r="P12" t="str">
        <f>IF(J12="","",J12*1000000+M12*1000+K12)</f>
        <v/>
      </c>
    </row>
    <row r="13" spans="1:16" ht="24" customHeight="1" thickBot="1" x14ac:dyDescent="0.2">
      <c r="A13" s="22"/>
      <c r="B13" s="21" t="str">
        <f>IF(OR(B12="",F6=""),"",IF(B12&gt;F6,2,IF(B12&lt;F6,0,1)))</f>
        <v/>
      </c>
      <c r="C13" s="22"/>
      <c r="D13" s="21" t="str">
        <f>IF(OR(D12="",F9=""),"",IF(D12&gt;F9,2,IF(D12&lt;F9,0,1)))</f>
        <v/>
      </c>
      <c r="E13" s="22"/>
      <c r="F13" s="20" t="s">
        <v>13</v>
      </c>
      <c r="G13" s="19"/>
      <c r="H13" s="21" t="str">
        <f>IF(OR(H12="",F15=""),"",IF(H12&gt;F15,2,IF(H12&lt;F15,0,1)))</f>
        <v/>
      </c>
      <c r="I13" s="31"/>
      <c r="J13" s="34"/>
      <c r="K13" s="34"/>
      <c r="L13" s="34"/>
      <c r="M13" s="34"/>
      <c r="N13" s="34"/>
      <c r="O13" s="34"/>
    </row>
    <row r="14" spans="1:16" ht="24" customHeight="1" thickBot="1" x14ac:dyDescent="0.2">
      <c r="A14" s="22"/>
      <c r="B14" s="10" t="str">
        <f>IF(C12&gt;0,TRUNC(B12/C12,3),"")</f>
        <v/>
      </c>
      <c r="C14" s="9"/>
      <c r="D14" s="10" t="str">
        <f>IF(E12&gt;0,TRUNC(D12/E12,3),"")</f>
        <v/>
      </c>
      <c r="E14" s="9"/>
      <c r="F14" s="8" t="s">
        <v>14</v>
      </c>
      <c r="G14" s="8" t="s">
        <v>11</v>
      </c>
      <c r="H14" s="10" t="str">
        <f>IF(I12&gt;0,TRUNC(H12/I12,3),"")</f>
        <v/>
      </c>
      <c r="I14" s="30"/>
      <c r="J14" s="35"/>
      <c r="K14" s="35"/>
      <c r="L14" s="35"/>
      <c r="M14" s="35"/>
      <c r="N14" s="35"/>
      <c r="O14" s="35"/>
    </row>
    <row r="15" spans="1:16" ht="24" customHeight="1" thickBot="1" x14ac:dyDescent="0.2">
      <c r="A15" s="23" t="str">
        <f>IF(Teilnehmer!B9="","",Teilnehmer!B9)</f>
        <v/>
      </c>
      <c r="B15" s="9"/>
      <c r="C15" s="9"/>
      <c r="D15" s="9"/>
      <c r="E15" s="9"/>
      <c r="F15" s="9"/>
      <c r="G15" s="9"/>
      <c r="H15" s="8" t="s">
        <v>8</v>
      </c>
      <c r="I15" s="36" t="s">
        <v>9</v>
      </c>
      <c r="J15" s="33" t="str">
        <f>IF(COUNTA(B15,D15,F15)=0,"",SUM(B16,D16,F16))</f>
        <v/>
      </c>
      <c r="K15" s="37" t="str">
        <f>IF(J15="","",SUM(B15,D15,F15))</f>
        <v/>
      </c>
      <c r="L15" s="37" t="str">
        <f>IF(J15="","",SUM(C15,E15,G15))</f>
        <v/>
      </c>
      <c r="M15" s="38" t="e">
        <f>IF(L15&gt;0,TRUNC(K15/L15,3),"")</f>
        <v>#VALUE!</v>
      </c>
      <c r="N15" s="37" t="str">
        <f>IF(J15="","",MAX(C17,E17,G17))</f>
        <v/>
      </c>
      <c r="O15" s="37" t="str">
        <f>IF(J15="","",RANK(P15,($P$6,$P$9,$P$12,$P$15),0))</f>
        <v/>
      </c>
      <c r="P15" t="str">
        <f>IF(J15="","",J15*1000000+M15*1000+K15)</f>
        <v/>
      </c>
    </row>
    <row r="16" spans="1:16" ht="24" customHeight="1" thickBot="1" x14ac:dyDescent="0.2">
      <c r="A16" s="22"/>
      <c r="B16" s="21" t="str">
        <f>IF(OR(B15="",H6=""),"",IF(B15&gt;H6,2,IF(B15&lt;H6,0,1)))</f>
        <v/>
      </c>
      <c r="C16" s="22"/>
      <c r="D16" s="21" t="str">
        <f>IF(OR(D15="",H9=""),"",IF(D15&gt;H9,2,IF(D15&lt;H9,0,1)))</f>
        <v/>
      </c>
      <c r="E16" s="22"/>
      <c r="F16" s="21" t="str">
        <f>IF(OR(F15="",H12=""),"",IF(F15&gt;H12,2,IF(F15&lt;H12,0,1)))</f>
        <v/>
      </c>
      <c r="G16" s="22"/>
      <c r="H16" s="20" t="s">
        <v>13</v>
      </c>
      <c r="I16" s="19"/>
      <c r="J16" s="34"/>
      <c r="K16" s="34"/>
      <c r="L16" s="34"/>
      <c r="M16" s="34"/>
      <c r="N16" s="34"/>
      <c r="O16" s="34"/>
    </row>
    <row r="17" spans="1:16" ht="24" customHeight="1" thickBot="1" x14ac:dyDescent="0.2">
      <c r="A17" s="22"/>
      <c r="B17" s="10" t="str">
        <f>IF(C15&gt;0,TRUNC(B15/C15,3),"")</f>
        <v/>
      </c>
      <c r="C17" s="9"/>
      <c r="D17" s="10" t="str">
        <f>IF(E15&gt;0,TRUNC(D15/E15,3),"")</f>
        <v/>
      </c>
      <c r="E17" s="9"/>
      <c r="F17" s="10" t="str">
        <f>IF(G15&gt;0,TRUNC(F15/G15,3),"")</f>
        <v/>
      </c>
      <c r="G17" s="9"/>
      <c r="H17" s="8" t="s">
        <v>14</v>
      </c>
      <c r="I17" s="36" t="s">
        <v>11</v>
      </c>
      <c r="J17" s="35"/>
      <c r="K17" s="35"/>
      <c r="L17" s="35"/>
      <c r="M17" s="35"/>
      <c r="N17" s="35"/>
      <c r="O17" s="35"/>
    </row>
    <row r="18" spans="1:16" ht="22" customHeight="1" x14ac:dyDescent="0.15"/>
    <row r="19" spans="1:16" ht="22" customHeight="1" x14ac:dyDescent="0.15"/>
    <row r="20" spans="1:16" ht="24" customHeight="1" thickBot="1" x14ac:dyDescent="0.2">
      <c r="A20" s="25" t="s">
        <v>15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</row>
    <row r="21" spans="1:16" ht="22" customHeight="1" thickBot="1" x14ac:dyDescent="0.2">
      <c r="A21" s="6" t="s">
        <v>6</v>
      </c>
      <c r="B21" s="23" t="str">
        <f>IF(Teilnehmer!B3="","",Teilnehmer!B3)</f>
        <v/>
      </c>
      <c r="C21" s="24"/>
      <c r="D21" s="23" t="str">
        <f>IF(Teilnehmer!B4="","",Teilnehmer!B4)</f>
        <v/>
      </c>
      <c r="E21" s="24"/>
      <c r="F21" s="23" t="str">
        <f>IF(Teilnehmer!B7="","",Teilnehmer!B7)</f>
        <v/>
      </c>
      <c r="G21" s="24"/>
      <c r="H21" s="23" t="str">
        <f>IF(Teilnehmer!B8="","",Teilnehmer!B8)</f>
        <v/>
      </c>
      <c r="I21" s="24"/>
      <c r="J21" s="32" t="s">
        <v>7</v>
      </c>
      <c r="K21" s="32" t="s">
        <v>8</v>
      </c>
      <c r="L21" s="32" t="s">
        <v>9</v>
      </c>
      <c r="M21" s="32" t="s">
        <v>10</v>
      </c>
      <c r="N21" s="32" t="s">
        <v>11</v>
      </c>
      <c r="O21" s="32" t="s">
        <v>12</v>
      </c>
    </row>
    <row r="22" spans="1:16" ht="24" customHeight="1" thickBot="1" x14ac:dyDescent="0.2">
      <c r="A22" s="23" t="str">
        <f>IF(Teilnehmer!B3="","",Teilnehmer!B3)</f>
        <v/>
      </c>
      <c r="B22" s="8" t="s">
        <v>8</v>
      </c>
      <c r="C22" s="8" t="s">
        <v>9</v>
      </c>
      <c r="D22" s="9"/>
      <c r="E22" s="9"/>
      <c r="F22" s="9"/>
      <c r="G22" s="9"/>
      <c r="H22" s="9"/>
      <c r="I22" s="30"/>
      <c r="J22" s="39" t="str">
        <f>IF(COUNTA(D22,F22,H22)=0,"",SUM(D23,F23,H23))</f>
        <v/>
      </c>
      <c r="K22" s="42" t="str">
        <f>IF(J22="","",SUM(D22,F22,H22))</f>
        <v/>
      </c>
      <c r="L22" s="42" t="str">
        <f>IF(J22="","",SUM(E22,G22,I22))</f>
        <v/>
      </c>
      <c r="M22" s="43" t="e">
        <f>IF(L22&gt;0,TRUNC(K22/L22,3),"")</f>
        <v>#VALUE!</v>
      </c>
      <c r="N22" s="42" t="str">
        <f>IF(J22="","",MAX(E24,G24,I24))</f>
        <v/>
      </c>
      <c r="O22" s="42" t="str">
        <f>IF(J22="","",RANK(P22,($P$22,$P$25,$P$28,$P$31),0))</f>
        <v/>
      </c>
      <c r="P22" t="str">
        <f>IF(J22="","",J22*1000000+M22*1000+K22)</f>
        <v/>
      </c>
    </row>
    <row r="23" spans="1:16" ht="24" customHeight="1" thickBot="1" x14ac:dyDescent="0.2">
      <c r="A23" s="22"/>
      <c r="B23" s="20" t="s">
        <v>13</v>
      </c>
      <c r="C23" s="19"/>
      <c r="D23" s="21" t="str">
        <f>IF(OR(D22="",B25=""),"",IF(D22&gt;B25,2,IF(D22&lt;B25,0,1)))</f>
        <v/>
      </c>
      <c r="E23" s="22"/>
      <c r="F23" s="21" t="str">
        <f>IF(OR(F22="",B28=""),"",IF(F22&gt;B28,2,IF(F22&lt;B28,0,1)))</f>
        <v/>
      </c>
      <c r="G23" s="22"/>
      <c r="H23" s="21" t="str">
        <f>IF(OR(H22="",B31=""),"",IF(H22&gt;B31,2,IF(H22&lt;B31,0,1)))</f>
        <v/>
      </c>
      <c r="I23" s="31"/>
      <c r="J23" s="40"/>
      <c r="K23" s="40"/>
      <c r="L23" s="40"/>
      <c r="M23" s="40"/>
      <c r="N23" s="40"/>
      <c r="O23" s="40"/>
    </row>
    <row r="24" spans="1:16" ht="24" customHeight="1" thickBot="1" x14ac:dyDescent="0.2">
      <c r="A24" s="22"/>
      <c r="B24" s="8" t="s">
        <v>14</v>
      </c>
      <c r="C24" s="8" t="s">
        <v>11</v>
      </c>
      <c r="D24" s="10" t="str">
        <f>IF(E22&gt;0,TRUNC(D22/E22,3),"")</f>
        <v/>
      </c>
      <c r="E24" s="9"/>
      <c r="F24" s="10" t="str">
        <f>IF(G22&gt;0,TRUNC(F22/G22,3),"")</f>
        <v/>
      </c>
      <c r="G24" s="9"/>
      <c r="H24" s="10" t="str">
        <f>IF(I22&gt;0,TRUNC(H22/I22,3),"")</f>
        <v/>
      </c>
      <c r="I24" s="30"/>
      <c r="J24" s="41"/>
      <c r="K24" s="41"/>
      <c r="L24" s="41"/>
      <c r="M24" s="41"/>
      <c r="N24" s="41"/>
      <c r="O24" s="41"/>
    </row>
    <row r="25" spans="1:16" ht="24" customHeight="1" thickBot="1" x14ac:dyDescent="0.2">
      <c r="A25" s="23" t="str">
        <f>IF(Teilnehmer!B4="","",Teilnehmer!B4)</f>
        <v/>
      </c>
      <c r="B25" s="9"/>
      <c r="C25" s="9"/>
      <c r="D25" s="8" t="s">
        <v>8</v>
      </c>
      <c r="E25" s="8" t="s">
        <v>9</v>
      </c>
      <c r="F25" s="9"/>
      <c r="G25" s="9"/>
      <c r="H25" s="9"/>
      <c r="I25" s="30"/>
      <c r="J25" s="39" t="str">
        <f>IF(COUNTA(B25,F25,H25)=0,"",SUM(B26,F26,H26))</f>
        <v/>
      </c>
      <c r="K25" s="42" t="str">
        <f>IF(J25="","",SUM(B25,F25,H25))</f>
        <v/>
      </c>
      <c r="L25" s="42" t="str">
        <f>IF(J25="","",SUM(C25,G25,I25))</f>
        <v/>
      </c>
      <c r="M25" s="43" t="e">
        <f>IF(L25&gt;0,TRUNC(K25/L25,3),"")</f>
        <v>#VALUE!</v>
      </c>
      <c r="N25" s="42" t="str">
        <f>IF(J25="","",MAX(C27,G27,I27))</f>
        <v/>
      </c>
      <c r="O25" s="42" t="str">
        <f>IF(J25="","",RANK(P25,($P$22,$P$25,$P$28,$P$31),0))</f>
        <v/>
      </c>
      <c r="P25" t="str">
        <f>IF(J25="","",J25*1000000+M25*1000+K25)</f>
        <v/>
      </c>
    </row>
    <row r="26" spans="1:16" ht="24" customHeight="1" thickBot="1" x14ac:dyDescent="0.2">
      <c r="A26" s="22"/>
      <c r="B26" s="21" t="str">
        <f>IF(OR(B25="",D22=""),"",IF(B25&gt;D22,2,IF(B25&lt;D22,0,1)))</f>
        <v/>
      </c>
      <c r="C26" s="22"/>
      <c r="D26" s="20" t="s">
        <v>13</v>
      </c>
      <c r="E26" s="19"/>
      <c r="F26" s="21" t="str">
        <f>IF(OR(F25="",D28=""),"",IF(F25&gt;D28,2,IF(F25&lt;D28,0,1)))</f>
        <v/>
      </c>
      <c r="G26" s="22"/>
      <c r="H26" s="21" t="str">
        <f>IF(OR(H25="",D31=""),"",IF(H25&gt;D31,2,IF(H25&lt;D31,0,1)))</f>
        <v/>
      </c>
      <c r="I26" s="31"/>
      <c r="J26" s="40"/>
      <c r="K26" s="40"/>
      <c r="L26" s="40"/>
      <c r="M26" s="40"/>
      <c r="N26" s="40"/>
      <c r="O26" s="40"/>
    </row>
    <row r="27" spans="1:16" ht="24" customHeight="1" thickBot="1" x14ac:dyDescent="0.2">
      <c r="A27" s="22"/>
      <c r="B27" s="10" t="str">
        <f>IF(C25&gt;0,TRUNC(B25/C25,3),"")</f>
        <v/>
      </c>
      <c r="C27" s="9"/>
      <c r="D27" s="8" t="s">
        <v>14</v>
      </c>
      <c r="E27" s="8" t="s">
        <v>11</v>
      </c>
      <c r="F27" s="10" t="str">
        <f>IF(G25&gt;0,TRUNC(F25/G25,3),"")</f>
        <v/>
      </c>
      <c r="G27" s="9"/>
      <c r="H27" s="10" t="str">
        <f>IF(I25&gt;0,TRUNC(H25/I25,3),"")</f>
        <v/>
      </c>
      <c r="I27" s="30"/>
      <c r="J27" s="41"/>
      <c r="K27" s="41"/>
      <c r="L27" s="41"/>
      <c r="M27" s="41"/>
      <c r="N27" s="41"/>
      <c r="O27" s="41"/>
    </row>
    <row r="28" spans="1:16" ht="24" customHeight="1" thickBot="1" x14ac:dyDescent="0.2">
      <c r="A28" s="23" t="str">
        <f>IF(Teilnehmer!B7="","",Teilnehmer!B7)</f>
        <v/>
      </c>
      <c r="B28" s="9"/>
      <c r="C28" s="9"/>
      <c r="D28" s="9"/>
      <c r="E28" s="9"/>
      <c r="F28" s="8" t="s">
        <v>8</v>
      </c>
      <c r="G28" s="8" t="s">
        <v>9</v>
      </c>
      <c r="H28" s="9"/>
      <c r="I28" s="30"/>
      <c r="J28" s="39" t="str">
        <f>IF(COUNTA(B28,D28,H28)=0,"",SUM(B29,D29,H29))</f>
        <v/>
      </c>
      <c r="K28" s="42" t="str">
        <f>IF(J28="","",SUM(B28,D28,H28))</f>
        <v/>
      </c>
      <c r="L28" s="42" t="str">
        <f>IF(J28="","",SUM(C28,E28,I28))</f>
        <v/>
      </c>
      <c r="M28" s="43" t="e">
        <f>IF(L28&gt;0,TRUNC(K28/L28,3),"")</f>
        <v>#VALUE!</v>
      </c>
      <c r="N28" s="42" t="str">
        <f>IF(J28="","",MAX(C30,E30,I30))</f>
        <v/>
      </c>
      <c r="O28" s="42" t="str">
        <f>IF(J28="","",RANK(P28,($P$22,$P$25,$P$28,$P$31),0))</f>
        <v/>
      </c>
      <c r="P28" t="str">
        <f>IF(J28="","",J28*1000000+M28*1000+K28)</f>
        <v/>
      </c>
    </row>
    <row r="29" spans="1:16" ht="24" customHeight="1" thickBot="1" x14ac:dyDescent="0.2">
      <c r="A29" s="22"/>
      <c r="B29" s="21" t="str">
        <f>IF(OR(B28="",F22=""),"",IF(B28&gt;F22,2,IF(B28&lt;F22,0,1)))</f>
        <v/>
      </c>
      <c r="C29" s="22"/>
      <c r="D29" s="21" t="str">
        <f>IF(OR(D28="",F25=""),"",IF(D28&gt;F25,2,IF(D28&lt;F25,0,1)))</f>
        <v/>
      </c>
      <c r="E29" s="22"/>
      <c r="F29" s="20" t="s">
        <v>13</v>
      </c>
      <c r="G29" s="19"/>
      <c r="H29" s="21" t="str">
        <f>IF(OR(H28="",F31=""),"",IF(H28&gt;F31,2,IF(H28&lt;F31,0,1)))</f>
        <v/>
      </c>
      <c r="I29" s="31"/>
      <c r="J29" s="40"/>
      <c r="K29" s="40"/>
      <c r="L29" s="40"/>
      <c r="M29" s="40"/>
      <c r="N29" s="40"/>
      <c r="O29" s="40"/>
    </row>
    <row r="30" spans="1:16" ht="24" customHeight="1" thickBot="1" x14ac:dyDescent="0.2">
      <c r="A30" s="22"/>
      <c r="B30" s="10" t="str">
        <f>IF(C28&gt;0,TRUNC(B28/C28,3),"")</f>
        <v/>
      </c>
      <c r="C30" s="9"/>
      <c r="D30" s="10" t="str">
        <f>IF(E28&gt;0,TRUNC(D28/E28,3),"")</f>
        <v/>
      </c>
      <c r="E30" s="9"/>
      <c r="F30" s="8" t="s">
        <v>14</v>
      </c>
      <c r="G30" s="8" t="s">
        <v>11</v>
      </c>
      <c r="H30" s="10" t="str">
        <f>IF(I28&gt;0,TRUNC(H28/I28,3),"")</f>
        <v/>
      </c>
      <c r="I30" s="30"/>
      <c r="J30" s="41"/>
      <c r="K30" s="41"/>
      <c r="L30" s="41"/>
      <c r="M30" s="41"/>
      <c r="N30" s="41"/>
      <c r="O30" s="41"/>
    </row>
    <row r="31" spans="1:16" ht="24" customHeight="1" thickBot="1" x14ac:dyDescent="0.2">
      <c r="A31" s="23" t="str">
        <f>IF(Teilnehmer!B8="","",Teilnehmer!B8)</f>
        <v/>
      </c>
      <c r="B31" s="9"/>
      <c r="C31" s="9"/>
      <c r="D31" s="9"/>
      <c r="E31" s="9"/>
      <c r="F31" s="9"/>
      <c r="G31" s="9"/>
      <c r="H31" s="8" t="s">
        <v>8</v>
      </c>
      <c r="I31" s="36" t="s">
        <v>9</v>
      </c>
      <c r="J31" s="39" t="str">
        <f>IF(COUNTA(B31,D31,F31)=0,"",SUM(B32,D32,F32))</f>
        <v/>
      </c>
      <c r="K31" s="42" t="str">
        <f>IF(J31="","",SUM(B31,D31,F31))</f>
        <v/>
      </c>
      <c r="L31" s="42" t="str">
        <f>IF(J31="","",SUM(C31,E31,G31))</f>
        <v/>
      </c>
      <c r="M31" s="43" t="e">
        <f>IF(L31&gt;0,TRUNC(K31/L31,3),"")</f>
        <v>#VALUE!</v>
      </c>
      <c r="N31" s="42" t="str">
        <f>IF(J31="","",MAX(C33,E33,G33))</f>
        <v/>
      </c>
      <c r="O31" s="42" t="str">
        <f>IF(J31="","",RANK(P31,($P$22,$P$25,$P$28,$P$31),0))</f>
        <v/>
      </c>
      <c r="P31" t="str">
        <f>IF(J31="","",J31*1000000+M31*1000+K31)</f>
        <v/>
      </c>
    </row>
    <row r="32" spans="1:16" ht="24" customHeight="1" thickBot="1" x14ac:dyDescent="0.2">
      <c r="A32" s="22"/>
      <c r="B32" s="21" t="str">
        <f>IF(OR(B31="",H22=""),"",IF(B31&gt;H22,2,IF(B31&lt;H22,0,1)))</f>
        <v/>
      </c>
      <c r="C32" s="22"/>
      <c r="D32" s="21" t="str">
        <f>IF(OR(D31="",H25=""),"",IF(D31&gt;H25,2,IF(D31&lt;H25,0,1)))</f>
        <v/>
      </c>
      <c r="E32" s="22"/>
      <c r="F32" s="21" t="str">
        <f>IF(OR(F31="",H28=""),"",IF(F31&gt;H28,2,IF(F31&lt;H28,0,1)))</f>
        <v/>
      </c>
      <c r="G32" s="22"/>
      <c r="H32" s="20" t="s">
        <v>13</v>
      </c>
      <c r="I32" s="19"/>
      <c r="J32" s="40"/>
      <c r="K32" s="40"/>
      <c r="L32" s="40"/>
      <c r="M32" s="40"/>
      <c r="N32" s="40"/>
      <c r="O32" s="40"/>
    </row>
    <row r="33" spans="1:15" ht="24" customHeight="1" thickBot="1" x14ac:dyDescent="0.2">
      <c r="A33" s="22"/>
      <c r="B33" s="10" t="str">
        <f>IF(C31&gt;0,TRUNC(B31/C31,3),"")</f>
        <v/>
      </c>
      <c r="C33" s="9"/>
      <c r="D33" s="10" t="str">
        <f>IF(E31&gt;0,TRUNC(D31/E31,3),"")</f>
        <v/>
      </c>
      <c r="E33" s="9"/>
      <c r="F33" s="10" t="str">
        <f>IF(G31&gt;0,TRUNC(F31/G31,3),"")</f>
        <v/>
      </c>
      <c r="G33" s="9"/>
      <c r="H33" s="8" t="s">
        <v>14</v>
      </c>
      <c r="I33" s="36" t="s">
        <v>11</v>
      </c>
      <c r="J33" s="41"/>
      <c r="K33" s="41"/>
      <c r="L33" s="41"/>
      <c r="M33" s="41"/>
      <c r="N33" s="41"/>
      <c r="O33" s="41"/>
    </row>
    <row r="34" spans="1:15" ht="22" customHeight="1" x14ac:dyDescent="0.15"/>
    <row r="35" spans="1:15" ht="22" customHeight="1" x14ac:dyDescent="0.15"/>
    <row r="36" spans="1:15" ht="22" customHeight="1" x14ac:dyDescent="0.15"/>
    <row r="37" spans="1:15" ht="22" customHeight="1" x14ac:dyDescent="0.15">
      <c r="A37" s="25" t="s">
        <v>16</v>
      </c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</row>
    <row r="38" spans="1:15" ht="22" customHeight="1" x14ac:dyDescent="0.15">
      <c r="A38" s="7" t="s">
        <v>17</v>
      </c>
      <c r="B38" s="7" t="s">
        <v>18</v>
      </c>
      <c r="C38" s="7" t="s">
        <v>19</v>
      </c>
      <c r="D38" s="7" t="s">
        <v>20</v>
      </c>
      <c r="E38" s="7" t="s">
        <v>21</v>
      </c>
      <c r="F38" s="7" t="s">
        <v>22</v>
      </c>
      <c r="G38" s="7" t="s">
        <v>23</v>
      </c>
      <c r="H38" s="7" t="s">
        <v>24</v>
      </c>
      <c r="I38" s="7" t="s">
        <v>25</v>
      </c>
      <c r="J38" s="7" t="s">
        <v>26</v>
      </c>
      <c r="K38" s="7" t="s">
        <v>27</v>
      </c>
      <c r="L38" s="7" t="s">
        <v>28</v>
      </c>
      <c r="M38" s="7" t="s">
        <v>29</v>
      </c>
    </row>
    <row r="39" spans="1:15" ht="25" customHeight="1" x14ac:dyDescent="0.15">
      <c r="A39" s="11" t="s">
        <v>30</v>
      </c>
      <c r="B39" s="12">
        <v>13</v>
      </c>
      <c r="C39" s="12">
        <v>1</v>
      </c>
      <c r="D39" s="13"/>
      <c r="E39" s="9"/>
      <c r="F39" s="13"/>
      <c r="G39" s="9"/>
      <c r="H39" s="9"/>
      <c r="I39" s="9"/>
      <c r="J39" s="9"/>
      <c r="K39" s="9"/>
      <c r="L39" s="9"/>
      <c r="M39" s="9"/>
    </row>
    <row r="40" spans="1:15" ht="25" customHeight="1" x14ac:dyDescent="0.15">
      <c r="A40" s="11" t="s">
        <v>31</v>
      </c>
      <c r="B40" s="12">
        <v>14</v>
      </c>
      <c r="C40" s="12">
        <v>2</v>
      </c>
      <c r="D40" s="13"/>
      <c r="E40" s="9"/>
      <c r="F40" s="13"/>
      <c r="G40" s="9"/>
      <c r="H40" s="9"/>
      <c r="I40" s="9"/>
      <c r="J40" s="9"/>
      <c r="K40" s="9"/>
      <c r="L40" s="9"/>
      <c r="M40" s="9"/>
    </row>
    <row r="41" spans="1:15" ht="25" customHeight="1" x14ac:dyDescent="0.15">
      <c r="A41" s="11" t="s">
        <v>32</v>
      </c>
      <c r="B41" s="12">
        <v>15</v>
      </c>
      <c r="C41" s="12">
        <v>3</v>
      </c>
      <c r="D41" s="13"/>
      <c r="E41" s="9"/>
      <c r="F41" s="13"/>
      <c r="G41" s="9"/>
      <c r="H41" s="9"/>
      <c r="I41" s="9"/>
      <c r="J41" s="9"/>
      <c r="K41" s="9"/>
      <c r="L41" s="9"/>
      <c r="M41" s="9"/>
    </row>
    <row r="42" spans="1:15" ht="25" customHeight="1" x14ac:dyDescent="0.15">
      <c r="A42" s="11" t="s">
        <v>33</v>
      </c>
      <c r="B42" s="12">
        <v>16</v>
      </c>
      <c r="C42" s="12">
        <v>4</v>
      </c>
      <c r="D42" s="13"/>
      <c r="E42" s="9"/>
      <c r="F42" s="13"/>
      <c r="G42" s="9"/>
      <c r="H42" s="9"/>
      <c r="I42" s="9"/>
      <c r="J42" s="9"/>
      <c r="K42" s="9"/>
      <c r="L42" s="9"/>
      <c r="M42" s="9"/>
    </row>
    <row r="43" spans="1:15" ht="25" customHeight="1" x14ac:dyDescent="0.15">
      <c r="A43" s="11" t="s">
        <v>34</v>
      </c>
      <c r="B43" s="12">
        <v>17</v>
      </c>
      <c r="C43" s="12">
        <v>1</v>
      </c>
      <c r="D43" s="13"/>
      <c r="E43" s="9"/>
      <c r="F43" s="13"/>
      <c r="G43" s="9"/>
      <c r="H43" s="9"/>
      <c r="I43" s="9"/>
      <c r="J43" s="9"/>
      <c r="K43" s="9"/>
      <c r="L43" s="9"/>
      <c r="M43" s="9"/>
    </row>
    <row r="44" spans="1:15" ht="25" customHeight="1" x14ac:dyDescent="0.15">
      <c r="A44" s="11" t="s">
        <v>35</v>
      </c>
      <c r="B44" s="12">
        <v>18</v>
      </c>
      <c r="C44" s="12">
        <v>2</v>
      </c>
      <c r="D44" s="13"/>
      <c r="E44" s="9"/>
      <c r="F44" s="13"/>
      <c r="G44" s="9"/>
      <c r="H44" s="9"/>
      <c r="I44" s="9"/>
      <c r="J44" s="9"/>
      <c r="K44" s="9"/>
      <c r="L44" s="9"/>
      <c r="M44" s="9"/>
    </row>
    <row r="45" spans="1:15" ht="22" customHeight="1" x14ac:dyDescent="0.15"/>
  </sheetData>
  <mergeCells count="100">
    <mergeCell ref="A4:O4"/>
    <mergeCell ref="A9:A11"/>
    <mergeCell ref="D16:E16"/>
    <mergeCell ref="H32:I32"/>
    <mergeCell ref="H7:I7"/>
    <mergeCell ref="B10:C10"/>
    <mergeCell ref="K22:K24"/>
    <mergeCell ref="M22:M24"/>
    <mergeCell ref="K31:K33"/>
    <mergeCell ref="M31:M33"/>
    <mergeCell ref="M15:M17"/>
    <mergeCell ref="M28:M30"/>
    <mergeCell ref="O22:O24"/>
    <mergeCell ref="H26:I26"/>
    <mergeCell ref="D1:K1"/>
    <mergeCell ref="H29:I29"/>
    <mergeCell ref="A37:O37"/>
    <mergeCell ref="J22:J24"/>
    <mergeCell ref="L22:L24"/>
    <mergeCell ref="J31:J33"/>
    <mergeCell ref="L31:L33"/>
    <mergeCell ref="D21:E21"/>
    <mergeCell ref="N31:N33"/>
    <mergeCell ref="J12:J14"/>
    <mergeCell ref="L6:L8"/>
    <mergeCell ref="N15:N17"/>
    <mergeCell ref="B23:C23"/>
    <mergeCell ref="D32:E32"/>
    <mergeCell ref="F32:G32"/>
    <mergeCell ref="F26:G26"/>
    <mergeCell ref="O6:O8"/>
    <mergeCell ref="K9:K11"/>
    <mergeCell ref="M9:M11"/>
    <mergeCell ref="O9:O11"/>
    <mergeCell ref="H16:I16"/>
    <mergeCell ref="J9:J11"/>
    <mergeCell ref="H5:I5"/>
    <mergeCell ref="K12:K14"/>
    <mergeCell ref="B7:C7"/>
    <mergeCell ref="A22:A24"/>
    <mergeCell ref="F7:G7"/>
    <mergeCell ref="F21:G21"/>
    <mergeCell ref="K6:K8"/>
    <mergeCell ref="H21:I21"/>
    <mergeCell ref="B5:C5"/>
    <mergeCell ref="D5:E5"/>
    <mergeCell ref="F10:G10"/>
    <mergeCell ref="F5:G5"/>
    <mergeCell ref="A31:A33"/>
    <mergeCell ref="K15:K17"/>
    <mergeCell ref="A20:O20"/>
    <mergeCell ref="B29:C29"/>
    <mergeCell ref="O15:O17"/>
    <mergeCell ref="J28:J30"/>
    <mergeCell ref="J6:J8"/>
    <mergeCell ref="L28:L30"/>
    <mergeCell ref="N22:N24"/>
    <mergeCell ref="L12:L14"/>
    <mergeCell ref="N12:N14"/>
    <mergeCell ref="D29:E29"/>
    <mergeCell ref="A25:A27"/>
    <mergeCell ref="D23:E23"/>
    <mergeCell ref="B32:C32"/>
    <mergeCell ref="B26:C26"/>
    <mergeCell ref="D26:E26"/>
    <mergeCell ref="A12:A14"/>
    <mergeCell ref="B16:C16"/>
    <mergeCell ref="A28:A30"/>
    <mergeCell ref="B21:C21"/>
    <mergeCell ref="D13:E13"/>
    <mergeCell ref="A15:A17"/>
    <mergeCell ref="B13:C13"/>
    <mergeCell ref="D7:E7"/>
    <mergeCell ref="A6:A8"/>
    <mergeCell ref="D10:E10"/>
    <mergeCell ref="H10:I10"/>
    <mergeCell ref="J25:J27"/>
    <mergeCell ref="L25:L27"/>
    <mergeCell ref="N28:N30"/>
    <mergeCell ref="N6:N8"/>
    <mergeCell ref="L9:L11"/>
    <mergeCell ref="N9:N11"/>
    <mergeCell ref="H13:I13"/>
    <mergeCell ref="M6:M8"/>
    <mergeCell ref="J15:J17"/>
    <mergeCell ref="L15:L17"/>
    <mergeCell ref="M25:M27"/>
    <mergeCell ref="H23:I23"/>
    <mergeCell ref="K28:K30"/>
    <mergeCell ref="K25:K27"/>
    <mergeCell ref="N25:N27"/>
    <mergeCell ref="O31:O33"/>
    <mergeCell ref="M12:M14"/>
    <mergeCell ref="F29:G29"/>
    <mergeCell ref="O12:O14"/>
    <mergeCell ref="F16:G16"/>
    <mergeCell ref="F23:G23"/>
    <mergeCell ref="F13:G13"/>
    <mergeCell ref="O25:O27"/>
    <mergeCell ref="O28:O30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showGridLines="0" zoomScale="125" workbookViewId="0">
      <pane ySplit="1" topLeftCell="A2" activePane="bottomLeft" state="frozen"/>
      <selection pane="bottomLeft"/>
    </sheetView>
  </sheetViews>
  <sheetFormatPr baseColWidth="10" defaultColWidth="8.83203125" defaultRowHeight="13" x14ac:dyDescent="0.15"/>
  <cols>
    <col min="1" max="1" width="12" customWidth="1"/>
    <col min="2" max="2" width="28" customWidth="1"/>
    <col min="3" max="3" width="16" customWidth="1"/>
    <col min="4" max="4" width="14" customWidth="1"/>
    <col min="5" max="5" width="16" customWidth="1"/>
    <col min="6" max="6" width="58" customWidth="1"/>
  </cols>
  <sheetData>
    <row r="1" spans="1:6" ht="14" x14ac:dyDescent="0.15">
      <c r="A1" s="14" t="s">
        <v>36</v>
      </c>
      <c r="B1" s="14" t="s">
        <v>37</v>
      </c>
      <c r="C1" s="14" t="s">
        <v>38</v>
      </c>
      <c r="D1" s="14" t="s">
        <v>39</v>
      </c>
      <c r="E1" s="14" t="s">
        <v>40</v>
      </c>
      <c r="F1" s="14" t="s">
        <v>41</v>
      </c>
    </row>
    <row r="2" spans="1:6" ht="14" x14ac:dyDescent="0.15">
      <c r="A2" s="15">
        <v>1</v>
      </c>
      <c r="B2" s="16"/>
      <c r="C2" s="17"/>
      <c r="D2" s="15" t="s">
        <v>5</v>
      </c>
      <c r="E2" s="15">
        <v>1</v>
      </c>
      <c r="F2" s="18" t="s">
        <v>42</v>
      </c>
    </row>
    <row r="3" spans="1:6" ht="14" x14ac:dyDescent="0.15">
      <c r="A3" s="15">
        <v>2</v>
      </c>
      <c r="B3" s="16"/>
      <c r="C3" s="17"/>
      <c r="D3" s="15" t="s">
        <v>15</v>
      </c>
      <c r="E3" s="15">
        <v>1</v>
      </c>
      <c r="F3" s="18" t="s">
        <v>42</v>
      </c>
    </row>
    <row r="4" spans="1:6" ht="14" x14ac:dyDescent="0.15">
      <c r="A4" s="15">
        <v>3</v>
      </c>
      <c r="B4" s="16"/>
      <c r="C4" s="17"/>
      <c r="D4" s="15" t="s">
        <v>15</v>
      </c>
      <c r="E4" s="15">
        <v>2</v>
      </c>
      <c r="F4" s="18" t="s">
        <v>42</v>
      </c>
    </row>
    <row r="5" spans="1:6" ht="14" x14ac:dyDescent="0.15">
      <c r="A5" s="15">
        <v>4</v>
      </c>
      <c r="B5" s="16"/>
      <c r="C5" s="17"/>
      <c r="D5" s="15" t="s">
        <v>5</v>
      </c>
      <c r="E5" s="15">
        <v>2</v>
      </c>
      <c r="F5" s="18" t="s">
        <v>42</v>
      </c>
    </row>
    <row r="6" spans="1:6" ht="14" x14ac:dyDescent="0.15">
      <c r="A6" s="15">
        <v>5</v>
      </c>
      <c r="B6" s="16"/>
      <c r="C6" s="17"/>
      <c r="D6" s="15" t="s">
        <v>5</v>
      </c>
      <c r="E6" s="15">
        <v>3</v>
      </c>
      <c r="F6" s="18" t="s">
        <v>42</v>
      </c>
    </row>
    <row r="7" spans="1:6" ht="14" x14ac:dyDescent="0.15">
      <c r="A7" s="15">
        <v>6</v>
      </c>
      <c r="B7" s="16"/>
      <c r="C7" s="17"/>
      <c r="D7" s="15" t="s">
        <v>15</v>
      </c>
      <c r="E7" s="15">
        <v>3</v>
      </c>
      <c r="F7" s="18" t="s">
        <v>42</v>
      </c>
    </row>
    <row r="8" spans="1:6" ht="14" x14ac:dyDescent="0.15">
      <c r="A8" s="15">
        <v>7</v>
      </c>
      <c r="B8" s="16"/>
      <c r="C8" s="17"/>
      <c r="D8" s="15" t="s">
        <v>15</v>
      </c>
      <c r="E8" s="15">
        <v>4</v>
      </c>
      <c r="F8" s="18" t="s">
        <v>42</v>
      </c>
    </row>
    <row r="9" spans="1:6" ht="14" x14ac:dyDescent="0.15">
      <c r="A9" s="15">
        <v>8</v>
      </c>
      <c r="B9" s="16"/>
      <c r="C9" s="17"/>
      <c r="D9" s="15" t="s">
        <v>5</v>
      </c>
      <c r="E9" s="15">
        <v>4</v>
      </c>
      <c r="F9" s="18" t="s">
        <v>42</v>
      </c>
    </row>
    <row r="11" spans="1:6" ht="28" customHeight="1" x14ac:dyDescent="0.15">
      <c r="A11" s="27" t="s">
        <v>43</v>
      </c>
      <c r="B11" s="28"/>
      <c r="C11" s="28"/>
      <c r="D11" s="28"/>
      <c r="E11" s="28"/>
      <c r="F11" s="29"/>
    </row>
  </sheetData>
  <mergeCells count="1">
    <mergeCell ref="A11:F1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3" x14ac:dyDescent="0.15"/>
  <cols>
    <col min="1" max="1" width="18" customWidth="1"/>
    <col min="2" max="2" width="8" customWidth="1"/>
    <col min="3" max="3" width="9" customWidth="1"/>
    <col min="4" max="5" width="18" customWidth="1"/>
    <col min="6" max="7" width="16" customWidth="1"/>
    <col min="8" max="9" width="18" customWidth="1"/>
    <col min="10" max="11" width="20" customWidth="1"/>
    <col min="12" max="12" width="14" customWidth="1"/>
    <col min="13" max="13" width="10" customWidth="1"/>
  </cols>
  <sheetData>
    <row r="1" spans="1:13" ht="28" x14ac:dyDescent="0.15">
      <c r="A1" s="4" t="s">
        <v>44</v>
      </c>
      <c r="B1" s="4" t="s">
        <v>45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  <c r="J1" s="4" t="s">
        <v>53</v>
      </c>
      <c r="K1" s="4" t="s">
        <v>54</v>
      </c>
      <c r="L1" s="4" t="s">
        <v>55</v>
      </c>
      <c r="M1" s="4" t="s">
        <v>56</v>
      </c>
    </row>
    <row r="2" spans="1:13" ht="14" x14ac:dyDescent="0.15">
      <c r="A2" s="15" t="s">
        <v>5</v>
      </c>
      <c r="B2" s="15">
        <v>1</v>
      </c>
      <c r="C2" s="15">
        <v>1</v>
      </c>
      <c r="D2" s="15" t="str">
        <f>IF(Teilnehmer!C2="","",Teilnehmer!C2)</f>
        <v/>
      </c>
      <c r="E2" s="15" t="str">
        <f>IF(Teilnehmer!C5="","",Teilnehmer!C5)</f>
        <v/>
      </c>
      <c r="F2" s="15" t="str">
        <f>IF(Tableau!D6="","",Tableau!D6)</f>
        <v/>
      </c>
      <c r="G2" s="15" t="str">
        <f>IF(Tableau!B9="","",Tableau!B9)</f>
        <v/>
      </c>
      <c r="H2" s="15" t="str">
        <f>IF(Tableau!E6="","",Tableau!E6)</f>
        <v/>
      </c>
      <c r="I2" s="15" t="str">
        <f>IF(Tableau!C9="","",Tableau!C9)</f>
        <v/>
      </c>
      <c r="J2" s="15" t="str">
        <f>IF(Tableau!E8="","",Tableau!E8)</f>
        <v/>
      </c>
      <c r="K2" s="15" t="str">
        <f>IF(Tableau!C11="","",Tableau!C11)</f>
        <v/>
      </c>
      <c r="L2" s="15">
        <f ca="1">Tableau!O2</f>
        <v>46250</v>
      </c>
      <c r="M2" s="15"/>
    </row>
    <row r="3" spans="1:13" ht="14" x14ac:dyDescent="0.15">
      <c r="A3" s="15" t="s">
        <v>5</v>
      </c>
      <c r="B3" s="15">
        <v>2</v>
      </c>
      <c r="C3" s="15">
        <v>1</v>
      </c>
      <c r="D3" s="15" t="str">
        <f>IF(Teilnehmer!C2="","",Teilnehmer!C2)</f>
        <v/>
      </c>
      <c r="E3" s="15" t="str">
        <f>IF(Teilnehmer!C6="","",Teilnehmer!C6)</f>
        <v/>
      </c>
      <c r="F3" s="15" t="str">
        <f>IF(Tableau!F6="","",Tableau!F6)</f>
        <v/>
      </c>
      <c r="G3" s="15" t="str">
        <f>IF(Tableau!B12="","",Tableau!B12)</f>
        <v/>
      </c>
      <c r="H3" s="15" t="str">
        <f>IF(Tableau!G6="","",Tableau!G6)</f>
        <v/>
      </c>
      <c r="I3" s="15" t="str">
        <f>IF(Tableau!C12="","",Tableau!C12)</f>
        <v/>
      </c>
      <c r="J3" s="15" t="str">
        <f>IF(Tableau!G8="","",Tableau!G8)</f>
        <v/>
      </c>
      <c r="K3" s="15" t="str">
        <f>IF(Tableau!C14="","",Tableau!C14)</f>
        <v/>
      </c>
      <c r="L3" s="15">
        <f ca="1">Tableau!O2</f>
        <v>46250</v>
      </c>
      <c r="M3" s="15"/>
    </row>
    <row r="4" spans="1:13" ht="14" x14ac:dyDescent="0.15">
      <c r="A4" s="15" t="s">
        <v>5</v>
      </c>
      <c r="B4" s="15">
        <v>3</v>
      </c>
      <c r="C4" s="15">
        <v>1</v>
      </c>
      <c r="D4" s="15" t="str">
        <f>IF(Teilnehmer!C2="","",Teilnehmer!C2)</f>
        <v/>
      </c>
      <c r="E4" s="15" t="str">
        <f>IF(Teilnehmer!C9="","",Teilnehmer!C9)</f>
        <v/>
      </c>
      <c r="F4" s="15" t="str">
        <f>IF(Tableau!H6="","",Tableau!H6)</f>
        <v/>
      </c>
      <c r="G4" s="15" t="str">
        <f>IF(Tableau!B15="","",Tableau!B15)</f>
        <v/>
      </c>
      <c r="H4" s="15" t="str">
        <f>IF(Tableau!I6="","",Tableau!I6)</f>
        <v/>
      </c>
      <c r="I4" s="15" t="str">
        <f>IF(Tableau!C15="","",Tableau!C15)</f>
        <v/>
      </c>
      <c r="J4" s="15" t="str">
        <f>IF(Tableau!I8="","",Tableau!I8)</f>
        <v/>
      </c>
      <c r="K4" s="15" t="str">
        <f>IF(Tableau!C17="","",Tableau!C17)</f>
        <v/>
      </c>
      <c r="L4" s="15">
        <f ca="1">Tableau!O2</f>
        <v>46250</v>
      </c>
      <c r="M4" s="15"/>
    </row>
    <row r="5" spans="1:13" ht="14" x14ac:dyDescent="0.15">
      <c r="A5" s="15" t="s">
        <v>5</v>
      </c>
      <c r="B5" s="15">
        <v>4</v>
      </c>
      <c r="C5" s="15">
        <v>1</v>
      </c>
      <c r="D5" s="15" t="str">
        <f>IF(Teilnehmer!C5="","",Teilnehmer!C5)</f>
        <v/>
      </c>
      <c r="E5" s="15" t="str">
        <f>IF(Teilnehmer!C6="","",Teilnehmer!C6)</f>
        <v/>
      </c>
      <c r="F5" s="15" t="str">
        <f>IF(Tableau!F9="","",Tableau!F9)</f>
        <v/>
      </c>
      <c r="G5" s="15" t="str">
        <f>IF(Tableau!D12="","",Tableau!D12)</f>
        <v/>
      </c>
      <c r="H5" s="15" t="str">
        <f>IF(Tableau!G9="","",Tableau!G9)</f>
        <v/>
      </c>
      <c r="I5" s="15" t="str">
        <f>IF(Tableau!E12="","",Tableau!E12)</f>
        <v/>
      </c>
      <c r="J5" s="15" t="str">
        <f>IF(Tableau!G11="","",Tableau!G11)</f>
        <v/>
      </c>
      <c r="K5" s="15" t="str">
        <f>IF(Tableau!E14="","",Tableau!E14)</f>
        <v/>
      </c>
      <c r="L5" s="15">
        <f ca="1">Tableau!O2</f>
        <v>46250</v>
      </c>
      <c r="M5" s="15"/>
    </row>
    <row r="6" spans="1:13" ht="14" x14ac:dyDescent="0.15">
      <c r="A6" s="15" t="s">
        <v>5</v>
      </c>
      <c r="B6" s="15">
        <v>5</v>
      </c>
      <c r="C6" s="15">
        <v>1</v>
      </c>
      <c r="D6" s="15" t="str">
        <f>IF(Teilnehmer!C5="","",Teilnehmer!C5)</f>
        <v/>
      </c>
      <c r="E6" s="15" t="str">
        <f>IF(Teilnehmer!C9="","",Teilnehmer!C9)</f>
        <v/>
      </c>
      <c r="F6" s="15" t="str">
        <f>IF(Tableau!H9="","",Tableau!H9)</f>
        <v/>
      </c>
      <c r="G6" s="15" t="str">
        <f>IF(Tableau!D15="","",Tableau!D15)</f>
        <v/>
      </c>
      <c r="H6" s="15" t="str">
        <f>IF(Tableau!I9="","",Tableau!I9)</f>
        <v/>
      </c>
      <c r="I6" s="15" t="str">
        <f>IF(Tableau!E15="","",Tableau!E15)</f>
        <v/>
      </c>
      <c r="J6" s="15" t="str">
        <f>IF(Tableau!I11="","",Tableau!I11)</f>
        <v/>
      </c>
      <c r="K6" s="15" t="str">
        <f>IF(Tableau!E17="","",Tableau!E17)</f>
        <v/>
      </c>
      <c r="L6" s="15">
        <f ca="1">Tableau!O2</f>
        <v>46250</v>
      </c>
      <c r="M6" s="15"/>
    </row>
    <row r="7" spans="1:13" ht="14" x14ac:dyDescent="0.15">
      <c r="A7" s="15" t="s">
        <v>5</v>
      </c>
      <c r="B7" s="15">
        <v>6</v>
      </c>
      <c r="C7" s="15">
        <v>1</v>
      </c>
      <c r="D7" s="15" t="str">
        <f>IF(Teilnehmer!C6="","",Teilnehmer!C6)</f>
        <v/>
      </c>
      <c r="E7" s="15" t="str">
        <f>IF(Teilnehmer!C9="","",Teilnehmer!C9)</f>
        <v/>
      </c>
      <c r="F7" s="15" t="str">
        <f>IF(Tableau!H12="","",Tableau!H12)</f>
        <v/>
      </c>
      <c r="G7" s="15" t="str">
        <f>IF(Tableau!F15="","",Tableau!F15)</f>
        <v/>
      </c>
      <c r="H7" s="15" t="str">
        <f>IF(Tableau!I12="","",Tableau!I12)</f>
        <v/>
      </c>
      <c r="I7" s="15" t="str">
        <f>IF(Tableau!G15="","",Tableau!G15)</f>
        <v/>
      </c>
      <c r="J7" s="15" t="str">
        <f>IF(Tableau!I14="","",Tableau!I14)</f>
        <v/>
      </c>
      <c r="K7" s="15" t="str">
        <f>IF(Tableau!G17="","",Tableau!G17)</f>
        <v/>
      </c>
      <c r="L7" s="15">
        <f ca="1">Tableau!O2</f>
        <v>46250</v>
      </c>
      <c r="M7" s="15"/>
    </row>
    <row r="8" spans="1:13" ht="14" x14ac:dyDescent="0.15">
      <c r="A8" s="15" t="s">
        <v>15</v>
      </c>
      <c r="B8" s="15">
        <v>7</v>
      </c>
      <c r="C8" s="15">
        <v>1</v>
      </c>
      <c r="D8" s="15" t="str">
        <f>IF(Teilnehmer!C3="","",Teilnehmer!C3)</f>
        <v/>
      </c>
      <c r="E8" s="15" t="str">
        <f>IF(Teilnehmer!C4="","",Teilnehmer!C4)</f>
        <v/>
      </c>
      <c r="F8" s="15" t="str">
        <f>IF(Tableau!D22="","",Tableau!D22)</f>
        <v/>
      </c>
      <c r="G8" s="15" t="str">
        <f>IF(Tableau!B25="","",Tableau!B25)</f>
        <v/>
      </c>
      <c r="H8" s="15" t="str">
        <f>IF(Tableau!E22="","",Tableau!E22)</f>
        <v/>
      </c>
      <c r="I8" s="15" t="str">
        <f>IF(Tableau!C25="","",Tableau!C25)</f>
        <v/>
      </c>
      <c r="J8" s="15" t="str">
        <f>IF(Tableau!E24="","",Tableau!E24)</f>
        <v/>
      </c>
      <c r="K8" s="15" t="str">
        <f>IF(Tableau!C27="","",Tableau!C27)</f>
        <v/>
      </c>
      <c r="L8" s="15">
        <f ca="1">Tableau!O2</f>
        <v>46250</v>
      </c>
      <c r="M8" s="15"/>
    </row>
    <row r="9" spans="1:13" ht="14" x14ac:dyDescent="0.15">
      <c r="A9" s="15" t="s">
        <v>15</v>
      </c>
      <c r="B9" s="15">
        <v>8</v>
      </c>
      <c r="C9" s="15">
        <v>1</v>
      </c>
      <c r="D9" s="15" t="str">
        <f>IF(Teilnehmer!C3="","",Teilnehmer!C3)</f>
        <v/>
      </c>
      <c r="E9" s="15" t="str">
        <f>IF(Teilnehmer!C7="","",Teilnehmer!C7)</f>
        <v/>
      </c>
      <c r="F9" s="15" t="str">
        <f>IF(Tableau!F22="","",Tableau!F22)</f>
        <v/>
      </c>
      <c r="G9" s="15" t="str">
        <f>IF(Tableau!B28="","",Tableau!B28)</f>
        <v/>
      </c>
      <c r="H9" s="15" t="str">
        <f>IF(Tableau!G22="","",Tableau!G22)</f>
        <v/>
      </c>
      <c r="I9" s="15" t="str">
        <f>IF(Tableau!C28="","",Tableau!C28)</f>
        <v/>
      </c>
      <c r="J9" s="15" t="str">
        <f>IF(Tableau!G24="","",Tableau!G24)</f>
        <v/>
      </c>
      <c r="K9" s="15" t="str">
        <f>IF(Tableau!C30="","",Tableau!C30)</f>
        <v/>
      </c>
      <c r="L9" s="15">
        <f ca="1">Tableau!O2</f>
        <v>46250</v>
      </c>
      <c r="M9" s="15"/>
    </row>
    <row r="10" spans="1:13" ht="14" x14ac:dyDescent="0.15">
      <c r="A10" s="15" t="s">
        <v>15</v>
      </c>
      <c r="B10" s="15">
        <v>9</v>
      </c>
      <c r="C10" s="15">
        <v>1</v>
      </c>
      <c r="D10" s="15" t="str">
        <f>IF(Teilnehmer!C3="","",Teilnehmer!C3)</f>
        <v/>
      </c>
      <c r="E10" s="15" t="str">
        <f>IF(Teilnehmer!C8="","",Teilnehmer!C8)</f>
        <v/>
      </c>
      <c r="F10" s="15" t="str">
        <f>IF(Tableau!H22="","",Tableau!H22)</f>
        <v/>
      </c>
      <c r="G10" s="15" t="str">
        <f>IF(Tableau!B31="","",Tableau!B31)</f>
        <v/>
      </c>
      <c r="H10" s="15" t="str">
        <f>IF(Tableau!I22="","",Tableau!I22)</f>
        <v/>
      </c>
      <c r="I10" s="15" t="str">
        <f>IF(Tableau!C31="","",Tableau!C31)</f>
        <v/>
      </c>
      <c r="J10" s="15" t="str">
        <f>IF(Tableau!I24="","",Tableau!I24)</f>
        <v/>
      </c>
      <c r="K10" s="15" t="str">
        <f>IF(Tableau!C33="","",Tableau!C33)</f>
        <v/>
      </c>
      <c r="L10" s="15">
        <f ca="1">Tableau!O2</f>
        <v>46250</v>
      </c>
      <c r="M10" s="15"/>
    </row>
    <row r="11" spans="1:13" ht="14" x14ac:dyDescent="0.15">
      <c r="A11" s="15" t="s">
        <v>15</v>
      </c>
      <c r="B11" s="15">
        <v>10</v>
      </c>
      <c r="C11" s="15">
        <v>1</v>
      </c>
      <c r="D11" s="15" t="str">
        <f>IF(Teilnehmer!C4="","",Teilnehmer!C4)</f>
        <v/>
      </c>
      <c r="E11" s="15" t="str">
        <f>IF(Teilnehmer!C7="","",Teilnehmer!C7)</f>
        <v/>
      </c>
      <c r="F11" s="15" t="str">
        <f>IF(Tableau!F25="","",Tableau!F25)</f>
        <v/>
      </c>
      <c r="G11" s="15" t="str">
        <f>IF(Tableau!D28="","",Tableau!D28)</f>
        <v/>
      </c>
      <c r="H11" s="15" t="str">
        <f>IF(Tableau!G25="","",Tableau!G25)</f>
        <v/>
      </c>
      <c r="I11" s="15" t="str">
        <f>IF(Tableau!E28="","",Tableau!E28)</f>
        <v/>
      </c>
      <c r="J11" s="15" t="str">
        <f>IF(Tableau!G27="","",Tableau!G27)</f>
        <v/>
      </c>
      <c r="K11" s="15" t="str">
        <f>IF(Tableau!E30="","",Tableau!E30)</f>
        <v/>
      </c>
      <c r="L11" s="15">
        <f ca="1">Tableau!O2</f>
        <v>46250</v>
      </c>
      <c r="M11" s="15"/>
    </row>
    <row r="12" spans="1:13" ht="14" x14ac:dyDescent="0.15">
      <c r="A12" s="15" t="s">
        <v>15</v>
      </c>
      <c r="B12" s="15">
        <v>11</v>
      </c>
      <c r="C12" s="15">
        <v>1</v>
      </c>
      <c r="D12" s="15" t="str">
        <f>IF(Teilnehmer!C4="","",Teilnehmer!C4)</f>
        <v/>
      </c>
      <c r="E12" s="15" t="str">
        <f>IF(Teilnehmer!C8="","",Teilnehmer!C8)</f>
        <v/>
      </c>
      <c r="F12" s="15" t="str">
        <f>IF(Tableau!H25="","",Tableau!H25)</f>
        <v/>
      </c>
      <c r="G12" s="15" t="str">
        <f>IF(Tableau!D31="","",Tableau!D31)</f>
        <v/>
      </c>
      <c r="H12" s="15" t="str">
        <f>IF(Tableau!I25="","",Tableau!I25)</f>
        <v/>
      </c>
      <c r="I12" s="15" t="str">
        <f>IF(Tableau!E31="","",Tableau!E31)</f>
        <v/>
      </c>
      <c r="J12" s="15" t="str">
        <f>IF(Tableau!I27="","",Tableau!I27)</f>
        <v/>
      </c>
      <c r="K12" s="15" t="str">
        <f>IF(Tableau!E33="","",Tableau!E33)</f>
        <v/>
      </c>
      <c r="L12" s="15">
        <f ca="1">Tableau!O2</f>
        <v>46250</v>
      </c>
      <c r="M12" s="15"/>
    </row>
    <row r="13" spans="1:13" ht="14" x14ac:dyDescent="0.15">
      <c r="A13" s="15" t="s">
        <v>15</v>
      </c>
      <c r="B13" s="15">
        <v>12</v>
      </c>
      <c r="C13" s="15">
        <v>1</v>
      </c>
      <c r="D13" s="15" t="str">
        <f>IF(Teilnehmer!C7="","",Teilnehmer!C7)</f>
        <v/>
      </c>
      <c r="E13" s="15" t="str">
        <f>IF(Teilnehmer!C8="","",Teilnehmer!C8)</f>
        <v/>
      </c>
      <c r="F13" s="15" t="str">
        <f>IF(Tableau!H28="","",Tableau!H28)</f>
        <v/>
      </c>
      <c r="G13" s="15" t="str">
        <f>IF(Tableau!F31="","",Tableau!F31)</f>
        <v/>
      </c>
      <c r="H13" s="15" t="str">
        <f>IF(Tableau!I28="","",Tableau!I28)</f>
        <v/>
      </c>
      <c r="I13" s="15" t="str">
        <f>IF(Tableau!G31="","",Tableau!G31)</f>
        <v/>
      </c>
      <c r="J13" s="15" t="str">
        <f>IF(Tableau!I30="","",Tableau!I30)</f>
        <v/>
      </c>
      <c r="K13" s="15" t="str">
        <f>IF(Tableau!G33="","",Tableau!G33)</f>
        <v/>
      </c>
      <c r="L13" s="15">
        <f ca="1">Tableau!O2</f>
        <v>46250</v>
      </c>
      <c r="M13" s="15"/>
    </row>
    <row r="14" spans="1:13" ht="14" x14ac:dyDescent="0.15">
      <c r="A14" s="15" t="str">
        <f>IF(Tableau!A39="","",Tableau!A39)</f>
        <v>Halbfinale 1 über Kreuz</v>
      </c>
      <c r="B14" s="15">
        <f>IF(Tableau!B39="","",Tableau!B39)</f>
        <v>13</v>
      </c>
      <c r="C14" s="15">
        <v>1</v>
      </c>
      <c r="D14" s="15" t="str">
        <f>IF(Tableau!E39="","",Tableau!E39)</f>
        <v/>
      </c>
      <c r="E14" s="15" t="str">
        <f>IF(Tableau!G39="","",Tableau!G39)</f>
        <v/>
      </c>
      <c r="F14" s="15" t="str">
        <f>IF(Tableau!H39="","",Tableau!H39)</f>
        <v/>
      </c>
      <c r="G14" s="15" t="str">
        <f>IF(Tableau!I39="","",Tableau!I39)</f>
        <v/>
      </c>
      <c r="H14" s="15" t="str">
        <f>IF(Tableau!J39="","",Tableau!J39)</f>
        <v/>
      </c>
      <c r="I14" s="15" t="str">
        <f>IF(Tableau!K39="","",Tableau!K39)</f>
        <v/>
      </c>
      <c r="J14" s="15" t="str">
        <f>IF(Tableau!L39="","",Tableau!L39)</f>
        <v/>
      </c>
      <c r="K14" s="15" t="str">
        <f>IF(Tableau!M39="","",Tableau!M39)</f>
        <v/>
      </c>
      <c r="L14" s="15">
        <f ca="1">Tableau!O2</f>
        <v>46250</v>
      </c>
      <c r="M14" s="15"/>
    </row>
    <row r="15" spans="1:13" ht="14" x14ac:dyDescent="0.15">
      <c r="A15" s="15" t="str">
        <f>IF(Tableau!A40="","",Tableau!A40)</f>
        <v>Halbfinale 2 über Kreuz</v>
      </c>
      <c r="B15" s="15">
        <f>IF(Tableau!B40="","",Tableau!B40)</f>
        <v>14</v>
      </c>
      <c r="C15" s="15">
        <v>1</v>
      </c>
      <c r="D15" s="15" t="str">
        <f>IF(Tableau!E40="","",Tableau!E40)</f>
        <v/>
      </c>
      <c r="E15" s="15" t="str">
        <f>IF(Tableau!G40="","",Tableau!G40)</f>
        <v/>
      </c>
      <c r="F15" s="15" t="str">
        <f>IF(Tableau!H40="","",Tableau!H40)</f>
        <v/>
      </c>
      <c r="G15" s="15" t="str">
        <f>IF(Tableau!I40="","",Tableau!I40)</f>
        <v/>
      </c>
      <c r="H15" s="15" t="str">
        <f>IF(Tableau!J40="","",Tableau!J40)</f>
        <v/>
      </c>
      <c r="I15" s="15" t="str">
        <f>IF(Tableau!K40="","",Tableau!K40)</f>
        <v/>
      </c>
      <c r="J15" s="15" t="str">
        <f>IF(Tableau!L40="","",Tableau!L40)</f>
        <v/>
      </c>
      <c r="K15" s="15" t="str">
        <f>IF(Tableau!M40="","",Tableau!M40)</f>
        <v/>
      </c>
      <c r="L15" s="15">
        <f ca="1">Tableau!O2</f>
        <v>46250</v>
      </c>
      <c r="M15" s="15"/>
    </row>
    <row r="16" spans="1:13" ht="14" x14ac:dyDescent="0.15">
      <c r="A16" s="15" t="str">
        <f>IF(Tableau!A41="","",Tableau!A41)</f>
        <v>Platz 7-8</v>
      </c>
      <c r="B16" s="15">
        <f>IF(Tableau!B41="","",Tableau!B41)</f>
        <v>15</v>
      </c>
      <c r="C16" s="15">
        <v>1</v>
      </c>
      <c r="D16" s="15" t="str">
        <f>IF(Tableau!E41="","",Tableau!E41)</f>
        <v/>
      </c>
      <c r="E16" s="15" t="str">
        <f>IF(Tableau!G41="","",Tableau!G41)</f>
        <v/>
      </c>
      <c r="F16" s="15" t="str">
        <f>IF(Tableau!H41="","",Tableau!H41)</f>
        <v/>
      </c>
      <c r="G16" s="15" t="str">
        <f>IF(Tableau!I41="","",Tableau!I41)</f>
        <v/>
      </c>
      <c r="H16" s="15" t="str">
        <f>IF(Tableau!J41="","",Tableau!J41)</f>
        <v/>
      </c>
      <c r="I16" s="15" t="str">
        <f>IF(Tableau!K41="","",Tableau!K41)</f>
        <v/>
      </c>
      <c r="J16" s="15" t="str">
        <f>IF(Tableau!L41="","",Tableau!L41)</f>
        <v/>
      </c>
      <c r="K16" s="15" t="str">
        <f>IF(Tableau!M41="","",Tableau!M41)</f>
        <v/>
      </c>
      <c r="L16" s="15">
        <f ca="1">Tableau!O2</f>
        <v>46250</v>
      </c>
      <c r="M16" s="15"/>
    </row>
    <row r="17" spans="1:13" ht="14" x14ac:dyDescent="0.15">
      <c r="A17" s="15" t="str">
        <f>IF(Tableau!A42="","",Tableau!A42)</f>
        <v>Platz 5-6</v>
      </c>
      <c r="B17" s="15">
        <f>IF(Tableau!B42="","",Tableau!B42)</f>
        <v>16</v>
      </c>
      <c r="C17" s="15">
        <v>1</v>
      </c>
      <c r="D17" s="15" t="str">
        <f>IF(Tableau!E42="","",Tableau!E42)</f>
        <v/>
      </c>
      <c r="E17" s="15" t="str">
        <f>IF(Tableau!G42="","",Tableau!G42)</f>
        <v/>
      </c>
      <c r="F17" s="15" t="str">
        <f>IF(Tableau!H42="","",Tableau!H42)</f>
        <v/>
      </c>
      <c r="G17" s="15" t="str">
        <f>IF(Tableau!I42="","",Tableau!I42)</f>
        <v/>
      </c>
      <c r="H17" s="15" t="str">
        <f>IF(Tableau!J42="","",Tableau!J42)</f>
        <v/>
      </c>
      <c r="I17" s="15" t="str">
        <f>IF(Tableau!K42="","",Tableau!K42)</f>
        <v/>
      </c>
      <c r="J17" s="15" t="str">
        <f>IF(Tableau!L42="","",Tableau!L42)</f>
        <v/>
      </c>
      <c r="K17" s="15" t="str">
        <f>IF(Tableau!M42="","",Tableau!M42)</f>
        <v/>
      </c>
      <c r="L17" s="15">
        <f ca="1">Tableau!O2</f>
        <v>46250</v>
      </c>
      <c r="M17" s="15"/>
    </row>
    <row r="18" spans="1:13" ht="14" x14ac:dyDescent="0.15">
      <c r="A18" s="15" t="str">
        <f>IF(Tableau!A43="","",Tableau!A43)</f>
        <v>Finale</v>
      </c>
      <c r="B18" s="15">
        <f>IF(Tableau!B43="","",Tableau!B43)</f>
        <v>17</v>
      </c>
      <c r="C18" s="15">
        <v>1</v>
      </c>
      <c r="D18" s="15" t="str">
        <f>IF(Tableau!E43="","",Tableau!E43)</f>
        <v/>
      </c>
      <c r="E18" s="15" t="str">
        <f>IF(Tableau!G43="","",Tableau!G43)</f>
        <v/>
      </c>
      <c r="F18" s="15" t="str">
        <f>IF(Tableau!H43="","",Tableau!H43)</f>
        <v/>
      </c>
      <c r="G18" s="15" t="str">
        <f>IF(Tableau!I43="","",Tableau!I43)</f>
        <v/>
      </c>
      <c r="H18" s="15" t="str">
        <f>IF(Tableau!J43="","",Tableau!J43)</f>
        <v/>
      </c>
      <c r="I18" s="15" t="str">
        <f>IF(Tableau!K43="","",Tableau!K43)</f>
        <v/>
      </c>
      <c r="J18" s="15" t="str">
        <f>IF(Tableau!L43="","",Tableau!L43)</f>
        <v/>
      </c>
      <c r="K18" s="15" t="str">
        <f>IF(Tableau!M43="","",Tableau!M43)</f>
        <v/>
      </c>
      <c r="L18" s="15">
        <f ca="1">Tableau!O2</f>
        <v>46250</v>
      </c>
      <c r="M18" s="15"/>
    </row>
    <row r="19" spans="1:13" ht="14" x14ac:dyDescent="0.15">
      <c r="A19" s="15" t="str">
        <f>IF(Tableau!A44="","",Tableau!A44)</f>
        <v>Platz 3-4</v>
      </c>
      <c r="B19" s="15">
        <f>IF(Tableau!B44="","",Tableau!B44)</f>
        <v>18</v>
      </c>
      <c r="C19" s="15">
        <v>1</v>
      </c>
      <c r="D19" s="15" t="str">
        <f>IF(Tableau!E44="","",Tableau!E44)</f>
        <v/>
      </c>
      <c r="E19" s="15" t="str">
        <f>IF(Tableau!G44="","",Tableau!G44)</f>
        <v/>
      </c>
      <c r="F19" s="15" t="str">
        <f>IF(Tableau!H44="","",Tableau!H44)</f>
        <v/>
      </c>
      <c r="G19" s="15" t="str">
        <f>IF(Tableau!I44="","",Tableau!I44)</f>
        <v/>
      </c>
      <c r="H19" s="15" t="str">
        <f>IF(Tableau!J44="","",Tableau!J44)</f>
        <v/>
      </c>
      <c r="I19" s="15" t="str">
        <f>IF(Tableau!K44="","",Tableau!K44)</f>
        <v/>
      </c>
      <c r="J19" s="15" t="str">
        <f>IF(Tableau!L44="","",Tableau!L44)</f>
        <v/>
      </c>
      <c r="K19" s="15" t="str">
        <f>IF(Tableau!M44="","",Tableau!M44)</f>
        <v/>
      </c>
      <c r="L19" s="15">
        <f ca="1">Tableau!O2</f>
        <v>46250</v>
      </c>
      <c r="M19" s="15"/>
    </row>
    <row r="21" spans="1:13" x14ac:dyDescent="0.15">
      <c r="A21" s="27" t="s">
        <v>57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9"/>
    </row>
  </sheetData>
  <mergeCells count="1">
    <mergeCell ref="A21:M21"/>
  </mergeCell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75c9361e-11db-4cdb-bb28-a56c50666d3c}" enabled="1" method="Privileged" siteId="{2c518df7-6644-41f8-8350-3f75e61362a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Tableau</vt:lpstr>
      <vt:lpstr>Teilnehmer</vt:lpstr>
      <vt:lpstr>CSV Export</vt:lpstr>
      <vt:lpstr>'CSV Export'!Druckbereich</vt:lpstr>
      <vt:lpstr>Tableau!Druckbereich</vt:lpstr>
      <vt:lpstr>Teilnehmer!Druckbereich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6er Endrunde</dc:title>
  <dc:subject>Tableau &amp; Ansetzung</dc:subject>
  <dc:creator>MartinWitt</dc:creator>
  <cp:lastModifiedBy>Jüde, Philipp</cp:lastModifiedBy>
  <cp:revision>0</cp:revision>
  <cp:lastPrinted>2008-02-17T10:52:47Z</cp:lastPrinted>
  <dcterms:created xsi:type="dcterms:W3CDTF">1999-09-29T12:14:55Z</dcterms:created>
  <dcterms:modified xsi:type="dcterms:W3CDTF">2026-08-16T17:47:51Z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-973240657</vt:i4>
  </property>
  <property fmtid="{D5CDD505-2E9C-101B-9397-08002B2CF9AE}" pid="3" name="_AuthorEmail">
    <vt:lpwstr>nbv-sportwart@billard-hamburg.de</vt:lpwstr>
  </property>
  <property fmtid="{D5CDD505-2E9C-101B-9397-08002B2CF9AE}" pid="4" name="_AuthorEmailDisplayName">
    <vt:lpwstr>NBV Sportwart</vt:lpwstr>
  </property>
  <property fmtid="{D5CDD505-2E9C-101B-9397-08002B2CF9AE}" pid="5" name="_EmailSubject">
    <vt:lpwstr>Turnierprotokolle für Meisterschaften</vt:lpwstr>
  </property>
  <property fmtid="{D5CDD505-2E9C-101B-9397-08002B2CF9AE}" pid="6" name="_ReviewingToolsShownOnce">
    <vt:lpwstr/>
  </property>
</Properties>
</file>