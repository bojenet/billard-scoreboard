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80" windowWidth="29400" windowHeight="17320" tabRatio="868" firstSheet="0" activeTab="0" autoFilterDateGrouping="1"/>
  </bookViews>
  <sheets>
    <sheet xmlns:r="http://schemas.openxmlformats.org/officeDocument/2006/relationships" name="Tableau" sheetId="1" state="visible" r:id="rId1"/>
    <sheet xmlns:r="http://schemas.openxmlformats.org/officeDocument/2006/relationships" name="Teilnehmer" sheetId="2" state="visible" r:id="rId2"/>
    <sheet xmlns:r="http://schemas.openxmlformats.org/officeDocument/2006/relationships" name="CSV Export" sheetId="3" state="visible" r:id="rId3"/>
    <sheet xmlns:r="http://schemas.openxmlformats.org/officeDocument/2006/relationships" name="Finalrunde" sheetId="4" state="visible" r:id="rId4"/>
    <sheet xmlns:r="http://schemas.openxmlformats.org/officeDocument/2006/relationships" name="Gesamtrangliste" sheetId="5" state="visible" r:id="rId5"/>
  </sheets>
  <definedNames>
    <definedName name="_xlnm.Print_Area" localSheetId="0">'Tableau'!$A$1:$P$33</definedName>
    <definedName name="_xlnm.Print_Area" localSheetId="1">'Teilnehmer'!$A$1:$F$11</definedName>
    <definedName name="_xlnm.Print_Area" localSheetId="2">'CSV Export'!$A$1:$M$21</definedName>
    <definedName name="_xlnm.Print_Area" localSheetId="3">'Finalrunde'!$A$1:$I$48</definedName>
    <definedName name="_xlnm.Print_Area" localSheetId="4">'Gesamtrangliste'!$A$1:$K$11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2">
    <numFmt numFmtId="164" formatCode="dd\.mm\.yyyy"/>
    <numFmt numFmtId="165" formatCode="0.000"/>
  </numFmts>
  <fonts count="13">
    <font>
      <name val="Arial"/>
      <family val="2"/>
      <sz val="10"/>
    </font>
    <font>
      <name val="Arial"/>
      <family val="2"/>
      <color indexed="12"/>
      <sz val="10"/>
      <u val="single"/>
    </font>
    <font>
      <name val="Arial"/>
      <family val="2"/>
      <b val="1"/>
      <sz val="10"/>
    </font>
    <font>
      <name val="Times New Roman"/>
      <family val="1"/>
      <b val="1"/>
      <sz val="20"/>
      <u val="single"/>
    </font>
    <font>
      <name val="Arial"/>
      <family val="2"/>
      <b val="1"/>
      <sz val="9"/>
    </font>
    <font>
      <name val="Arial"/>
      <b val="1"/>
      <color rgb="FFFFFFFF"/>
      <sz val="10"/>
    </font>
    <font>
      <name val="Arial"/>
      <sz val="11"/>
    </font>
    <font>
      <name val="Arial"/>
      <b val="1"/>
      <sz val="14"/>
    </font>
    <font>
      <name val="Arial"/>
      <b val="1"/>
      <color rgb="00FFFFFF"/>
      <sz val="12"/>
    </font>
    <font>
      <name val="Arial"/>
      <b val="1"/>
      <sz val="11"/>
    </font>
    <font>
      <name val="Arial"/>
      <b val="1"/>
      <sz val="16"/>
    </font>
    <font>
      <name val="Arial"/>
      <b val="1"/>
      <color rgb="00006B2D"/>
      <sz val="18"/>
    </font>
    <font>
      <name val="Arial"/>
      <b val="1"/>
      <color rgb="00FFFFFF"/>
      <sz val="11"/>
    </font>
  </fonts>
  <fills count="11">
    <fill>
      <patternFill/>
    </fill>
    <fill>
      <patternFill patternType="gray125"/>
    </fill>
    <fill>
      <patternFill patternType="solid">
        <fgColor indexed="22"/>
        <bgColor indexed="31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1F2937"/>
      </patternFill>
    </fill>
    <fill>
      <patternFill patternType="solid">
        <fgColor rgb="FFE2F0D9"/>
      </patternFill>
    </fill>
    <fill>
      <patternFill patternType="solid">
        <fgColor rgb="FFBFBFBF"/>
      </patternFill>
    </fill>
    <fill>
      <patternFill patternType="solid"/>
    </fill>
    <fill>
      <patternFill patternType="solid">
        <fgColor rgb="00E2F0D9"/>
      </patternFill>
    </fill>
    <fill>
      <patternFill patternType="solid">
        <fgColor rgb="00BFBFBF"/>
      </patternFill>
    </fill>
    <fill>
      <patternFill patternType="solid">
        <fgColor rgb="00D9EAF7"/>
      </patternFill>
    </fill>
  </fills>
  <borders count="50">
    <border>
      <left/>
      <right/>
      <top/>
      <bottom/>
      <diagonal/>
    </border>
    <border>
      <left style="medium">
        <color indexed="8"/>
      </left>
      <right/>
      <top style="medium">
        <color indexed="8"/>
      </top>
      <bottom style="medium">
        <color indexed="8"/>
      </bottom>
      <diagonal/>
    </border>
    <border>
      <left/>
      <right style="thin">
        <color indexed="8"/>
      </right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medium">
        <color indexed="8"/>
      </top>
      <bottom style="medium">
        <color indexed="8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8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rgb="FF000000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/>
    <border>
      <top style="medium">
        <color rgb="00000000"/>
      </top>
      <bottom style="medium">
        <color rgb="00000000"/>
      </bottom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medium">
        <color rgb="00000000"/>
      </left>
      <right/>
      <top/>
      <bottom/>
      <diagonal/>
    </border>
    <border>
      <left style="medium">
        <color rgb="00000000"/>
      </left>
      <right style="medium">
        <color rgb="00000000"/>
      </right>
      <top/>
      <bottom/>
      <diagonal/>
    </border>
    <border>
      <left style="medium">
        <color rgb="00000000"/>
      </left>
      <right style="medium">
        <color rgb="00000000"/>
      </right>
      <top/>
      <bottom style="medium">
        <color rgb="00000000"/>
      </bottom>
      <diagonal/>
    </border>
    <border>
      <left/>
      <right/>
      <top style="medium">
        <color rgb="00000000"/>
      </top>
      <bottom/>
      <diagonal/>
    </border>
    <border>
      <left/>
      <right style="medium">
        <color rgb="00000000"/>
      </right>
      <top style="medium">
        <color rgb="00000000"/>
      </top>
      <bottom/>
      <diagonal/>
    </border>
    <border>
      <left/>
      <right style="medium">
        <color rgb="00000000"/>
      </right>
      <top/>
      <bottom/>
      <diagonal/>
    </border>
    <border>
      <left style="medium">
        <color rgb="00000000"/>
      </left>
      <right/>
      <top/>
      <bottom style="medium">
        <color rgb="00000000"/>
      </bottom>
      <diagonal/>
    </border>
    <border>
      <left/>
      <right style="medium">
        <color rgb="00000000"/>
      </right>
      <top/>
      <bottom style="medium">
        <color rgb="00000000"/>
      </bottom>
      <diagonal/>
    </border>
    <border>
      <left/>
      <right/>
      <top style="medium">
        <color rgb="00000000"/>
      </top>
      <bottom style="medium">
        <color rgb="00000000"/>
      </bottom>
      <diagonal/>
    </border>
    <border>
      <left/>
      <right style="medium">
        <color rgb="00000000"/>
      </right>
      <top style="medium">
        <color rgb="00000000"/>
      </top>
      <bottom style="medium">
        <color rgb="00000000"/>
      </bottom>
      <diagonal/>
    </border>
    <border>
      <bottom style="medium">
        <color rgb="00000000"/>
      </bottom>
    </border>
    <border>
      <bottom style="thin">
        <color rgb="00000000"/>
      </bottom>
    </border>
    <border>
      <left/>
      <right/>
      <top/>
      <bottom style="thin">
        <color rgb="00000000"/>
      </bottom>
      <diagonal/>
    </border>
    <border>
      <left/>
      <right/>
      <top/>
      <bottom style="medium">
        <color rgb="00000000"/>
      </bottom>
      <diagonal/>
    </border>
    <border>
      <right/>
      <bottom style="thin">
        <color rgb="00000000"/>
      </bottom>
    </border>
    <border>
      <right/>
      <top style="medium">
        <color rgb="00000000"/>
      </top>
      <bottom style="medium">
        <color rgb="00000000"/>
      </bottom>
    </border>
    <border>
      <right/>
      <bottom style="medium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2">
    <xf numFmtId="0" fontId="0" fillId="0" borderId="0"/>
    <xf numFmtId="0" fontId="1" fillId="0" borderId="0"/>
  </cellStyleXfs>
  <cellXfs count="91">
    <xf numFmtId="0" fontId="0" fillId="0" borderId="0" pivotButton="0" quotePrefix="0" xfId="0"/>
    <xf numFmtId="0" fontId="2" fillId="0" borderId="0" applyAlignment="1" pivotButton="0" quotePrefix="0" xfId="0">
      <alignment horizontal="justify" vertical="center"/>
    </xf>
    <xf numFmtId="0" fontId="2" fillId="0" borderId="0" applyAlignment="1" pivotButton="0" quotePrefix="0" xfId="0">
      <alignment horizontal="right" vertical="center"/>
    </xf>
    <xf numFmtId="0" fontId="2" fillId="3" borderId="0" applyAlignment="1" applyProtection="1" pivotButton="0" quotePrefix="0" xfId="0">
      <alignment horizontal="center" vertical="center"/>
      <protection locked="0" hidden="0"/>
    </xf>
    <xf numFmtId="0" fontId="5" fillId="4" borderId="3" applyAlignment="1" pivotButton="0" quotePrefix="0" xfId="0">
      <alignment horizontal="center" vertical="center" wrapText="1"/>
    </xf>
    <xf numFmtId="164" fontId="2" fillId="3" borderId="0" applyAlignment="1" applyProtection="1" pivotButton="0" quotePrefix="0" xfId="0">
      <alignment horizontal="center" vertical="center"/>
      <protection locked="0" hidden="0"/>
    </xf>
    <xf numFmtId="0" fontId="2" fillId="0" borderId="7" applyAlignment="1" pivotButton="0" quotePrefix="0" xfId="0">
      <alignment horizontal="center" vertical="center"/>
    </xf>
    <xf numFmtId="0" fontId="2" fillId="0" borderId="7" applyAlignment="1" pivotButton="0" quotePrefix="0" xfId="0">
      <alignment horizontal="center" vertical="center" wrapText="1"/>
    </xf>
    <xf numFmtId="0" fontId="2" fillId="6" borderId="7" applyAlignment="1" pivotButton="0" quotePrefix="0" xfId="0">
      <alignment horizontal="center" vertical="center" wrapText="1"/>
    </xf>
    <xf numFmtId="0" fontId="0" fillId="5" borderId="7" applyAlignment="1" applyProtection="1" pivotButton="0" quotePrefix="0" xfId="0">
      <alignment horizontal="center" vertical="center" wrapText="1"/>
      <protection locked="0" hidden="0"/>
    </xf>
    <xf numFmtId="165" fontId="0" fillId="0" borderId="7" applyAlignment="1" pivotButton="0" quotePrefix="0" xfId="0">
      <alignment horizontal="center" vertical="center" wrapText="1"/>
    </xf>
    <xf numFmtId="0" fontId="0" fillId="2" borderId="7" applyAlignment="1" pivotButton="0" quotePrefix="0" xfId="0">
      <alignment horizontal="left" vertical="center" wrapText="1"/>
    </xf>
    <xf numFmtId="0" fontId="0" fillId="2" borderId="7" applyAlignment="1" pivotButton="0" quotePrefix="0" xfId="0">
      <alignment horizontal="center" vertical="center" wrapText="1"/>
    </xf>
    <xf numFmtId="0" fontId="0" fillId="5" borderId="7" applyAlignment="1" applyProtection="1" pivotButton="0" quotePrefix="0" xfId="0">
      <alignment horizontal="left" vertical="center" wrapText="1"/>
      <protection locked="0" hidden="0"/>
    </xf>
    <xf numFmtId="0" fontId="5" fillId="4" borderId="0" applyAlignment="1" pivotButton="0" quotePrefix="0" xfId="0">
      <alignment horizontal="center" vertical="center" wrapText="1"/>
    </xf>
    <xf numFmtId="0" fontId="0" fillId="0" borderId="3" applyAlignment="1" pivotButton="0" quotePrefix="0" xfId="0">
      <alignment horizontal="center" vertical="center" wrapText="1"/>
    </xf>
    <xf numFmtId="0" fontId="0" fillId="5" borderId="3" applyAlignment="1" pivotButton="0" quotePrefix="0" xfId="0">
      <alignment horizontal="left" vertical="center" wrapText="1"/>
    </xf>
    <xf numFmtId="0" fontId="0" fillId="5" borderId="3" applyAlignment="1" pivotButton="0" quotePrefix="0" xfId="0">
      <alignment horizontal="center" vertical="center" wrapText="1"/>
    </xf>
    <xf numFmtId="0" fontId="0" fillId="0" borderId="3" applyAlignment="1" pivotButton="0" quotePrefix="0" xfId="0">
      <alignment horizontal="left" vertical="center" wrapText="1"/>
    </xf>
    <xf numFmtId="0" fontId="0" fillId="0" borderId="0" pivotButton="0" quotePrefix="0" xfId="0"/>
    <xf numFmtId="0" fontId="2" fillId="6" borderId="7" applyAlignment="1" pivotButton="0" quotePrefix="0" xfId="0">
      <alignment horizontal="center" vertical="center" wrapText="1"/>
    </xf>
    <xf numFmtId="0" fontId="0" fillId="0" borderId="7" applyAlignment="1" pivotButton="0" quotePrefix="0" xfId="0">
      <alignment horizontal="center" vertical="center" wrapText="1"/>
    </xf>
    <xf numFmtId="0" fontId="0" fillId="0" borderId="7" pivotButton="0" quotePrefix="0" xfId="0"/>
    <xf numFmtId="0" fontId="2" fillId="0" borderId="7" applyAlignment="1" pivotButton="0" quotePrefix="0" xfId="0">
      <alignment horizontal="center" vertical="center" wrapText="1"/>
    </xf>
    <xf numFmtId="0" fontId="0" fillId="0" borderId="6" pivotButton="0" quotePrefix="0" xfId="0"/>
    <xf numFmtId="0" fontId="2" fillId="0" borderId="1" applyAlignment="1" pivotButton="0" quotePrefix="0" xfId="0">
      <alignment horizontal="center" vertical="center"/>
    </xf>
    <xf numFmtId="0" fontId="3" fillId="3" borderId="2" applyAlignment="1" applyProtection="1" pivotButton="0" quotePrefix="0" xfId="0">
      <alignment horizontal="center"/>
      <protection locked="0" hidden="0"/>
    </xf>
    <xf numFmtId="0" fontId="0" fillId="0" borderId="3" applyAlignment="1" pivotButton="0" quotePrefix="0" xfId="0">
      <alignment vertical="center"/>
    </xf>
    <xf numFmtId="0" fontId="0" fillId="0" borderId="4" pivotButton="0" quotePrefix="0" xfId="0"/>
    <xf numFmtId="0" fontId="0" fillId="0" borderId="5" pivotButton="0" quotePrefix="0" xfId="0"/>
    <xf numFmtId="0" fontId="0" fillId="5" borderId="8" applyAlignment="1" applyProtection="1" pivotButton="0" quotePrefix="0" xfId="0">
      <alignment horizontal="center" vertical="center" wrapText="1"/>
      <protection locked="0" hidden="0"/>
    </xf>
    <xf numFmtId="0" fontId="0" fillId="0" borderId="8" pivotButton="0" quotePrefix="0" xfId="0"/>
    <xf numFmtId="0" fontId="4" fillId="0" borderId="9" applyAlignment="1" pivotButton="0" quotePrefix="0" xfId="0">
      <alignment horizontal="center" vertical="center" wrapText="1"/>
    </xf>
    <xf numFmtId="0" fontId="0" fillId="0" borderId="10" applyAlignment="1" pivotButton="0" quotePrefix="0" xfId="0">
      <alignment horizontal="center" vertical="center" wrapText="1"/>
    </xf>
    <xf numFmtId="0" fontId="0" fillId="0" borderId="11" pivotButton="0" quotePrefix="0" xfId="0"/>
    <xf numFmtId="0" fontId="0" fillId="0" borderId="12" pivotButton="0" quotePrefix="0" xfId="0"/>
    <xf numFmtId="0" fontId="2" fillId="6" borderId="8" applyAlignment="1" pivotButton="0" quotePrefix="0" xfId="0">
      <alignment horizontal="center" vertical="center" wrapText="1"/>
    </xf>
    <xf numFmtId="1" fontId="0" fillId="0" borderId="10" applyAlignment="1" pivotButton="0" quotePrefix="0" xfId="0">
      <alignment horizontal="center" vertical="center" wrapText="1"/>
    </xf>
    <xf numFmtId="165" fontId="0" fillId="0" borderId="10" applyAlignment="1" pivotButton="0" quotePrefix="0" xfId="0">
      <alignment horizontal="center" vertical="center" wrapText="1"/>
    </xf>
    <xf numFmtId="0" fontId="0" fillId="0" borderId="13" applyAlignment="1" pivotButton="0" quotePrefix="0" xfId="0">
      <alignment horizontal="center" vertical="center" wrapText="1"/>
    </xf>
    <xf numFmtId="0" fontId="0" fillId="0" borderId="14" pivotButton="0" quotePrefix="0" xfId="0"/>
    <xf numFmtId="0" fontId="0" fillId="0" borderId="15" pivotButton="0" quotePrefix="0" xfId="0"/>
    <xf numFmtId="1" fontId="0" fillId="0" borderId="13" applyAlignment="1" pivotButton="0" quotePrefix="0" xfId="0">
      <alignment horizontal="center" vertical="center" wrapText="1"/>
    </xf>
    <xf numFmtId="165" fontId="0" fillId="0" borderId="13" applyAlignment="1" pivotButton="0" quotePrefix="0" xfId="0">
      <alignment horizontal="center" vertical="center" wrapText="1"/>
    </xf>
    <xf numFmtId="0" fontId="0" fillId="0" borderId="0" applyProtection="1" pivotButton="0" quotePrefix="0" xfId="0">
      <protection locked="0" hidden="0"/>
    </xf>
    <xf numFmtId="0" fontId="0" fillId="0" borderId="2" applyProtection="1" pivotButton="0" quotePrefix="0" xfId="0">
      <protection locked="0" hidden="0"/>
    </xf>
    <xf numFmtId="164" fontId="2" fillId="3" borderId="0" applyAlignment="1" applyProtection="1" pivotButton="0" quotePrefix="0" xfId="0">
      <alignment horizontal="center" vertical="center"/>
      <protection locked="0" hidden="0"/>
    </xf>
    <xf numFmtId="0" fontId="0" fillId="0" borderId="22" pivotButton="0" quotePrefix="0" xfId="0"/>
    <xf numFmtId="165" fontId="0" fillId="0" borderId="10" applyAlignment="1" pivotButton="0" quotePrefix="0" xfId="0">
      <alignment horizontal="center" vertical="center" wrapText="1"/>
    </xf>
    <xf numFmtId="0" fontId="0" fillId="0" borderId="18" pivotButton="0" quotePrefix="0" xfId="0"/>
    <xf numFmtId="0" fontId="0" fillId="0" borderId="19" pivotButton="0" quotePrefix="0" xfId="0"/>
    <xf numFmtId="165" fontId="0" fillId="0" borderId="7" applyAlignment="1" pivotButton="0" quotePrefix="0" xfId="0">
      <alignment horizontal="center" vertical="center" wrapText="1"/>
    </xf>
    <xf numFmtId="0" fontId="0" fillId="0" borderId="26" pivotButton="0" quotePrefix="0" xfId="0"/>
    <xf numFmtId="165" fontId="0" fillId="0" borderId="13" applyAlignment="1" pivotButton="0" quotePrefix="0" xfId="0">
      <alignment horizontal="center" vertical="center" wrapText="1"/>
    </xf>
    <xf numFmtId="0" fontId="0" fillId="0" borderId="24" pivotButton="0" quotePrefix="0" xfId="0"/>
    <xf numFmtId="0" fontId="7" fillId="0" borderId="30" applyAlignment="1" pivotButton="0" quotePrefix="0" xfId="0">
      <alignment horizontal="center" vertical="center" wrapText="1"/>
    </xf>
    <xf numFmtId="0" fontId="6" fillId="0" borderId="29" pivotButton="0" quotePrefix="0" xfId="0"/>
    <xf numFmtId="0" fontId="8" fillId="7" borderId="31" applyAlignment="1" pivotButton="0" quotePrefix="0" xfId="0">
      <alignment horizontal="center" vertical="center" wrapText="1"/>
    </xf>
    <xf numFmtId="0" fontId="0" fillId="0" borderId="31" pivotButton="0" quotePrefix="0" xfId="0"/>
    <xf numFmtId="0" fontId="9" fillId="8" borderId="31" applyAlignment="1" pivotButton="0" quotePrefix="0" xfId="0">
      <alignment horizontal="center" vertical="center" wrapText="1"/>
    </xf>
    <xf numFmtId="0" fontId="9" fillId="9" borderId="31" applyAlignment="1" pivotButton="0" quotePrefix="0" xfId="0">
      <alignment horizontal="center" vertical="center" wrapText="1"/>
    </xf>
    <xf numFmtId="0" fontId="9" fillId="9" borderId="31" applyAlignment="1" applyProtection="1" pivotButton="0" quotePrefix="0" xfId="0">
      <alignment horizontal="center" vertical="center" wrapText="1"/>
      <protection locked="0" hidden="0"/>
    </xf>
    <xf numFmtId="0" fontId="6" fillId="8" borderId="31" applyAlignment="1" applyProtection="1" pivotButton="0" quotePrefix="0" xfId="0">
      <alignment horizontal="center" vertical="center" wrapText="1"/>
      <protection locked="0" hidden="0"/>
    </xf>
    <xf numFmtId="0" fontId="6" fillId="9" borderId="31" applyAlignment="1" applyProtection="1" pivotButton="0" quotePrefix="0" xfId="0">
      <alignment horizontal="center" vertical="center" wrapText="1"/>
      <protection locked="0" hidden="0"/>
    </xf>
    <xf numFmtId="0" fontId="6" fillId="0" borderId="29" applyProtection="1" pivotButton="0" quotePrefix="0" xfId="0">
      <protection locked="0" hidden="0"/>
    </xf>
    <xf numFmtId="0" fontId="6" fillId="8" borderId="31" applyAlignment="1" pivotButton="0" quotePrefix="0" xfId="0">
      <alignment horizontal="center" vertical="center" wrapText="1"/>
    </xf>
    <xf numFmtId="0" fontId="6" fillId="9" borderId="31" applyAlignment="1" pivotButton="0" quotePrefix="0" xfId="0">
      <alignment horizontal="center" vertical="center" wrapText="1"/>
    </xf>
    <xf numFmtId="0" fontId="10" fillId="0" borderId="42" applyAlignment="1" pivotButton="0" quotePrefix="0" xfId="0">
      <alignment horizontal="center" vertical="center" wrapText="1"/>
    </xf>
    <xf numFmtId="0" fontId="6" fillId="0" borderId="43" applyAlignment="1" pivotButton="0" quotePrefix="0" xfId="0">
      <alignment horizontal="left" vertical="center" wrapText="1"/>
    </xf>
    <xf numFmtId="0" fontId="10" fillId="0" borderId="30" applyAlignment="1" pivotButton="0" quotePrefix="0" xfId="0">
      <alignment horizontal="center" vertical="center" wrapText="1"/>
    </xf>
    <xf numFmtId="0" fontId="9" fillId="10" borderId="31" applyAlignment="1" pivotButton="0" quotePrefix="0" xfId="0">
      <alignment horizontal="center" vertical="center" wrapText="1"/>
    </xf>
    <xf numFmtId="0" fontId="0" fillId="0" borderId="45" pivotButton="0" quotePrefix="0" xfId="0"/>
    <xf numFmtId="0" fontId="0" fillId="0" borderId="44" pivotButton="0" quotePrefix="0" xfId="0"/>
    <xf numFmtId="0" fontId="0" fillId="0" borderId="40" pivotButton="0" quotePrefix="0" xfId="0"/>
    <xf numFmtId="0" fontId="0" fillId="0" borderId="41" pivotButton="0" quotePrefix="0" xfId="0"/>
    <xf numFmtId="0" fontId="0" fillId="0" borderId="36" pivotButton="0" quotePrefix="0" xfId="0"/>
    <xf numFmtId="0" fontId="0" fillId="0" borderId="33" pivotButton="0" quotePrefix="0" xfId="0"/>
    <xf numFmtId="0" fontId="0" fillId="0" borderId="32" pivotButton="0" quotePrefix="0" xfId="0"/>
    <xf numFmtId="0" fontId="0" fillId="0" borderId="37" pivotButton="0" quotePrefix="0" xfId="0"/>
    <xf numFmtId="0" fontId="0" fillId="0" borderId="34" pivotButton="0" quotePrefix="0" xfId="0"/>
    <xf numFmtId="0" fontId="0" fillId="0" borderId="38" pivotButton="0" quotePrefix="0" xfId="0"/>
    <xf numFmtId="0" fontId="0" fillId="0" borderId="39" pivotButton="0" quotePrefix="0" xfId="0"/>
    <xf numFmtId="0" fontId="10" fillId="0" borderId="48" applyAlignment="1" pivotButton="0" quotePrefix="0" xfId="0">
      <alignment horizontal="center" vertical="center" wrapText="1"/>
    </xf>
    <xf numFmtId="0" fontId="6" fillId="0" borderId="46" applyAlignment="1" pivotButton="0" quotePrefix="0" xfId="0">
      <alignment horizontal="left" vertical="center" wrapText="1"/>
    </xf>
    <xf numFmtId="0" fontId="10" fillId="0" borderId="47" applyAlignment="1" pivotButton="0" quotePrefix="0" xfId="0">
      <alignment horizontal="center" vertical="center" wrapText="1"/>
    </xf>
    <xf numFmtId="0" fontId="11" fillId="0" borderId="42" applyAlignment="1" pivotButton="0" quotePrefix="0" xfId="0">
      <alignment horizontal="center" vertical="center" wrapText="1"/>
    </xf>
    <xf numFmtId="0" fontId="12" fillId="7" borderId="31" applyAlignment="1" pivotButton="0" quotePrefix="0" xfId="0">
      <alignment horizontal="center" vertical="center" wrapText="1"/>
    </xf>
    <xf numFmtId="0" fontId="9" fillId="8" borderId="49" applyAlignment="1" pivotButton="0" quotePrefix="0" xfId="0">
      <alignment horizontal="center" vertical="center" wrapText="1"/>
    </xf>
    <xf numFmtId="0" fontId="9" fillId="10" borderId="49" applyAlignment="1" pivotButton="0" quotePrefix="0" xfId="0">
      <alignment horizontal="left" vertical="center" wrapText="1"/>
    </xf>
    <xf numFmtId="0" fontId="6" fillId="10" borderId="49" applyAlignment="1" pivotButton="0" quotePrefix="0" xfId="0">
      <alignment horizontal="center" vertical="center" wrapText="1"/>
    </xf>
    <xf numFmtId="0" fontId="6" fillId="10" borderId="49" applyAlignment="1" pivotButton="0" quotePrefix="0" xfId="0">
      <alignment horizontal="left" vertical="center" wrapText="1"/>
    </xf>
  </cellXfs>
  <cellStyles count="2">
    <cellStyle name="Standard" xfId="0" builtinId="0"/>
    <cellStyle name="Hyperlink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P33"/>
  <sheetViews>
    <sheetView showGridLines="0" tabSelected="1" zoomScale="150" workbookViewId="0">
      <pane ySplit="3" topLeftCell="A31" activePane="bottomLeft" state="frozen"/>
      <selection pane="bottomLeft" activeCell="J31" sqref="J31:J33"/>
    </sheetView>
  </sheetViews>
  <sheetFormatPr baseColWidth="10" defaultColWidth="8.83203125" defaultRowHeight="13"/>
  <cols>
    <col width="18" customWidth="1" style="19" min="1" max="1"/>
    <col width="10" customWidth="1" style="19" min="2" max="9"/>
    <col width="11" customWidth="1" style="19" min="3" max="3"/>
    <col width="11" customWidth="1" style="19" min="4" max="4"/>
    <col width="11" customWidth="1" style="19" min="5" max="5"/>
    <col width="11" customWidth="1" style="19" min="6" max="6"/>
    <col width="11" customWidth="1" style="19" min="7" max="7"/>
    <col width="11" customWidth="1" style="19" min="8" max="8"/>
    <col width="11" customWidth="1" style="19" min="9" max="9"/>
    <col width="11" customWidth="1" style="19" min="10" max="10"/>
    <col width="10" customWidth="1" style="19" min="11" max="13"/>
    <col width="8" customWidth="1" style="19" min="14" max="15"/>
    <col hidden="1" width="10" customWidth="1" style="19" min="16" max="16"/>
  </cols>
  <sheetData>
    <row r="1" ht="22" customHeight="1" s="19">
      <c r="A1" s="1" t="inlineStr">
        <is>
          <t>2=gewonnen     1=unentschieden</t>
        </is>
      </c>
      <c r="B1" s="1" t="n"/>
      <c r="C1" s="1" t="n"/>
      <c r="D1" s="26" t="n"/>
      <c r="E1" s="44" t="n"/>
      <c r="F1" s="44" t="n"/>
      <c r="G1" s="44" t="n"/>
      <c r="H1" s="44" t="n"/>
      <c r="I1" s="44" t="n"/>
      <c r="J1" s="44" t="n"/>
      <c r="K1" s="45" t="n"/>
      <c r="L1" s="1" t="n"/>
      <c r="M1" s="1" t="n"/>
      <c r="N1" s="2" t="inlineStr">
        <is>
          <t>Ausrichter :</t>
        </is>
      </c>
      <c r="O1" s="3" t="inlineStr">
        <is>
          <t>BGH</t>
        </is>
      </c>
      <c r="P1" s="1" t="n"/>
    </row>
    <row r="2" ht="22" customHeight="1" s="19">
      <c r="A2" s="1" t="inlineStr">
        <is>
          <t>0=verloren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2" t="inlineStr">
        <is>
          <t>Datum :</t>
        </is>
      </c>
      <c r="O2" s="46">
        <f>TODAY()</f>
        <v/>
      </c>
      <c r="P2" s="1" t="n"/>
    </row>
    <row r="3" ht="22" customHeight="1" s="19"/>
    <row r="4" ht="24" customHeight="1" s="19" thickBot="1">
      <c r="A4" s="25" t="inlineStr">
        <is>
          <t>Gruppe 1</t>
        </is>
      </c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</row>
    <row r="5" ht="22" customHeight="1" s="19" thickBot="1">
      <c r="A5" s="6" t="inlineStr">
        <is>
          <t>Name</t>
        </is>
      </c>
      <c r="B5" s="23">
        <f>IF(Teilnehmer!B2="","",Teilnehmer!B2)</f>
        <v/>
      </c>
      <c r="C5" s="47" t="n"/>
      <c r="D5" s="23">
        <f>IF(Teilnehmer!B5="","",Teilnehmer!B5)</f>
        <v/>
      </c>
      <c r="E5" s="47" t="n"/>
      <c r="F5" s="23">
        <f>IF(Teilnehmer!B6="","",Teilnehmer!B6)</f>
        <v/>
      </c>
      <c r="G5" s="47" t="n"/>
      <c r="H5" s="23">
        <f>IF(Teilnehmer!B9="","",Teilnehmer!B9)</f>
        <v/>
      </c>
      <c r="I5" s="47" t="n"/>
      <c r="J5" s="32" t="inlineStr">
        <is>
          <t>Partie-punkte</t>
        </is>
      </c>
      <c r="K5" s="32" t="inlineStr">
        <is>
          <t>Bälle</t>
        </is>
      </c>
      <c r="L5" s="32" t="inlineStr">
        <is>
          <t>Aufn.</t>
        </is>
      </c>
      <c r="M5" s="32" t="inlineStr">
        <is>
          <t>GD</t>
        </is>
      </c>
      <c r="N5" s="32" t="inlineStr">
        <is>
          <t>HS</t>
        </is>
      </c>
      <c r="O5" s="32" t="inlineStr">
        <is>
          <t>Platz</t>
        </is>
      </c>
    </row>
    <row r="6" ht="24" customHeight="1" s="19" thickBot="1">
      <c r="A6" s="23">
        <f>IF(Teilnehmer!B2="","",Teilnehmer!B2)</f>
        <v/>
      </c>
      <c r="B6" s="20" t="inlineStr">
        <is>
          <t>Bälle</t>
        </is>
      </c>
      <c r="C6" s="20" t="inlineStr">
        <is>
          <t>Aufn.</t>
        </is>
      </c>
      <c r="D6" s="9" t="n"/>
      <c r="E6" s="9" t="n"/>
      <c r="F6" s="9" t="n"/>
      <c r="G6" s="9" t="n"/>
      <c r="H6" s="9" t="n"/>
      <c r="I6" s="30" t="n"/>
      <c r="J6" s="33">
        <f>IF(COUNTA(D6,F6,H6)=0,"",SUM(D7,F7,H7))</f>
        <v/>
      </c>
      <c r="K6" s="37">
        <f>IF(J6="","",SUM(D6,F6,H6))</f>
        <v/>
      </c>
      <c r="L6" s="37">
        <f>IF(J6="","",SUM(E6,G6,I6))</f>
        <v/>
      </c>
      <c r="M6" s="48">
        <f>IF(L6&gt;0,TRUNC(K6/L6,3),"")</f>
        <v/>
      </c>
      <c r="N6" s="37">
        <f>IF(J6="","",MAX(E8,G8,I8))</f>
        <v/>
      </c>
      <c r="O6" s="37">
        <f>IF(J6="","",RANK(P6,($P$6,$P$9,$P$12,$P$15),0))</f>
        <v/>
      </c>
      <c r="P6">
        <f>IF(J6="","",J6*1000000+M6*1000+K6)</f>
        <v/>
      </c>
    </row>
    <row r="7" ht="24" customHeight="1" s="19" thickBot="1">
      <c r="A7" s="49" t="n"/>
      <c r="B7" s="20" t="inlineStr">
        <is>
          <t>Partiepunkte</t>
        </is>
      </c>
      <c r="C7" s="47" t="n"/>
      <c r="D7" s="21">
        <f>IF(OR(D6="",B9=""),"",IF(D6&gt;B9,2,IF(D6&lt;B9,0,1)))</f>
        <v/>
      </c>
      <c r="E7" s="47" t="n"/>
      <c r="F7" s="21">
        <f>IF(OR(F6="",B12=""),"",IF(F6&gt;B12,2,IF(F6&lt;B12,0,1)))</f>
        <v/>
      </c>
      <c r="G7" s="47" t="n"/>
      <c r="H7" s="21">
        <f>IF(OR(H6="",B15=""),"",IF(H6&gt;B15,2,IF(H6&lt;B15,0,1)))</f>
        <v/>
      </c>
      <c r="I7" s="47" t="n"/>
      <c r="J7" s="34" t="n"/>
      <c r="K7" s="34" t="n"/>
      <c r="L7" s="34" t="n"/>
      <c r="M7" s="34" t="n"/>
      <c r="N7" s="34" t="n"/>
      <c r="O7" s="34" t="n"/>
    </row>
    <row r="8" ht="24" customHeight="1" s="19" thickBot="1">
      <c r="A8" s="50" t="n"/>
      <c r="B8" s="20" t="inlineStr">
        <is>
          <t>DS</t>
        </is>
      </c>
      <c r="C8" s="20" t="inlineStr">
        <is>
          <t>HS</t>
        </is>
      </c>
      <c r="D8" s="51">
        <f>IF(E6&gt;0,TRUNC(D6/E6,3),"")</f>
        <v/>
      </c>
      <c r="E8" s="9" t="n"/>
      <c r="F8" s="51">
        <f>IF(G6&gt;0,TRUNC(F6/G6,3),"")</f>
        <v/>
      </c>
      <c r="G8" s="9" t="n"/>
      <c r="H8" s="51">
        <f>IF(I6&gt;0,TRUNC(H6/I6,3),"")</f>
        <v/>
      </c>
      <c r="I8" s="30" t="n"/>
      <c r="J8" s="52" t="n"/>
      <c r="K8" s="52" t="n"/>
      <c r="L8" s="52" t="n"/>
      <c r="M8" s="52" t="n"/>
      <c r="N8" s="52" t="n"/>
      <c r="O8" s="52" t="n"/>
    </row>
    <row r="9" ht="24" customHeight="1" s="19" thickBot="1">
      <c r="A9" s="23">
        <f>IF(Teilnehmer!B5="","",Teilnehmer!B5)</f>
        <v/>
      </c>
      <c r="B9" s="9" t="n"/>
      <c r="C9" s="9" t="n"/>
      <c r="D9" s="20" t="inlineStr">
        <is>
          <t>Bälle</t>
        </is>
      </c>
      <c r="E9" s="20" t="inlineStr">
        <is>
          <t>Aufn.</t>
        </is>
      </c>
      <c r="F9" s="9" t="n"/>
      <c r="G9" s="9" t="n"/>
      <c r="H9" s="9" t="n"/>
      <c r="I9" s="30" t="n"/>
      <c r="J9" s="33">
        <f>IF(COUNTA(B9,F9,H9)=0,"",SUM(B10,F10,H10))</f>
        <v/>
      </c>
      <c r="K9" s="37">
        <f>IF(J9="","",SUM(B9,F9,H9))</f>
        <v/>
      </c>
      <c r="L9" s="37">
        <f>IF(J9="","",SUM(C9,G9,I9))</f>
        <v/>
      </c>
      <c r="M9" s="48">
        <f>IF(L9&gt;0,TRUNC(K9/L9,3),"")</f>
        <v/>
      </c>
      <c r="N9" s="37">
        <f>IF(J9="","",MAX(C11,G11,I11))</f>
        <v/>
      </c>
      <c r="O9" s="37">
        <f>IF(J9="","",RANK(P9,($P$6,$P$9,$P$12,$P$15),0))</f>
        <v/>
      </c>
      <c r="P9">
        <f>IF(J9="","",J9*1000000+M9*1000+K9)</f>
        <v/>
      </c>
    </row>
    <row r="10" ht="24" customHeight="1" s="19" thickBot="1">
      <c r="A10" s="49" t="n"/>
      <c r="B10" s="21">
        <f>IF(OR(B9="",D6=""),"",IF(B9&gt;D6,2,IF(B9&lt;D6,0,1)))</f>
        <v/>
      </c>
      <c r="C10" s="47" t="n"/>
      <c r="D10" s="20" t="inlineStr">
        <is>
          <t>Partiepunkte</t>
        </is>
      </c>
      <c r="E10" s="47" t="n"/>
      <c r="F10" s="21">
        <f>IF(OR(F9="",D12=""),"",IF(F9&gt;D12,2,IF(F9&lt;D12,0,1)))</f>
        <v/>
      </c>
      <c r="G10" s="47" t="n"/>
      <c r="H10" s="21">
        <f>IF(OR(H9="",D15=""),"",IF(H9&gt;D15,2,IF(H9&lt;D15,0,1)))</f>
        <v/>
      </c>
      <c r="I10" s="47" t="n"/>
      <c r="J10" s="34" t="n"/>
      <c r="K10" s="34" t="n"/>
      <c r="L10" s="34" t="n"/>
      <c r="M10" s="34" t="n"/>
      <c r="N10" s="34" t="n"/>
      <c r="O10" s="34" t="n"/>
    </row>
    <row r="11" ht="24" customHeight="1" s="19" thickBot="1">
      <c r="A11" s="50" t="n"/>
      <c r="B11" s="51">
        <f>IF(C9&gt;0,TRUNC(B9/C9,3),"")</f>
        <v/>
      </c>
      <c r="C11" s="9" t="n"/>
      <c r="D11" s="20" t="inlineStr">
        <is>
          <t>DS</t>
        </is>
      </c>
      <c r="E11" s="20" t="inlineStr">
        <is>
          <t>HS</t>
        </is>
      </c>
      <c r="F11" s="51">
        <f>IF(G9&gt;0,TRUNC(F9/G9,3),"")</f>
        <v/>
      </c>
      <c r="G11" s="9" t="n"/>
      <c r="H11" s="51">
        <f>IF(I9&gt;0,TRUNC(H9/I9,3),"")</f>
        <v/>
      </c>
      <c r="I11" s="30" t="n"/>
      <c r="J11" s="52" t="n"/>
      <c r="K11" s="52" t="n"/>
      <c r="L11" s="52" t="n"/>
      <c r="M11" s="52" t="n"/>
      <c r="N11" s="52" t="n"/>
      <c r="O11" s="52" t="n"/>
    </row>
    <row r="12" ht="24" customHeight="1" s="19" thickBot="1">
      <c r="A12" s="23">
        <f>IF(Teilnehmer!B6="","",Teilnehmer!B6)</f>
        <v/>
      </c>
      <c r="B12" s="9" t="n"/>
      <c r="C12" s="9" t="n"/>
      <c r="D12" s="9" t="n"/>
      <c r="E12" s="9" t="n"/>
      <c r="F12" s="20" t="inlineStr">
        <is>
          <t>Bälle</t>
        </is>
      </c>
      <c r="G12" s="20" t="inlineStr">
        <is>
          <t>Aufn.</t>
        </is>
      </c>
      <c r="H12" s="9" t="n"/>
      <c r="I12" s="30" t="n"/>
      <c r="J12" s="33">
        <f>IF(COUNTA(B12,D12,H12)=0,"",SUM(B13,D13,H13))</f>
        <v/>
      </c>
      <c r="K12" s="37">
        <f>IF(J12="","",SUM(B12,D12,H12))</f>
        <v/>
      </c>
      <c r="L12" s="37">
        <f>IF(J12="","",SUM(C12,E12,I12))</f>
        <v/>
      </c>
      <c r="M12" s="48">
        <f>IF(L12&gt;0,TRUNC(K12/L12,3),"")</f>
        <v/>
      </c>
      <c r="N12" s="37">
        <f>IF(J12="","",MAX(C14,E14,I14))</f>
        <v/>
      </c>
      <c r="O12" s="37">
        <f>IF(J12="","",RANK(P12,($P$6,$P$9,$P$12,$P$15),0))</f>
        <v/>
      </c>
      <c r="P12">
        <f>IF(J12="","",J12*1000000+M12*1000+K12)</f>
        <v/>
      </c>
    </row>
    <row r="13" ht="24" customHeight="1" s="19" thickBot="1">
      <c r="A13" s="49" t="n"/>
      <c r="B13" s="21">
        <f>IF(OR(B12="",F6=""),"",IF(B12&gt;F6,2,IF(B12&lt;F6,0,1)))</f>
        <v/>
      </c>
      <c r="C13" s="47" t="n"/>
      <c r="D13" s="21">
        <f>IF(OR(D12="",F9=""),"",IF(D12&gt;F9,2,IF(D12&lt;F9,0,1)))</f>
        <v/>
      </c>
      <c r="E13" s="47" t="n"/>
      <c r="F13" s="20" t="inlineStr">
        <is>
          <t>Partiepunkte</t>
        </is>
      </c>
      <c r="G13" s="47" t="n"/>
      <c r="H13" s="21">
        <f>IF(OR(H12="",F15=""),"",IF(H12&gt;F15,2,IF(H12&lt;F15,0,1)))</f>
        <v/>
      </c>
      <c r="I13" s="47" t="n"/>
      <c r="J13" s="34" t="n"/>
      <c r="K13" s="34" t="n"/>
      <c r="L13" s="34" t="n"/>
      <c r="M13" s="34" t="n"/>
      <c r="N13" s="34" t="n"/>
      <c r="O13" s="34" t="n"/>
    </row>
    <row r="14" ht="24" customHeight="1" s="19" thickBot="1">
      <c r="A14" s="50" t="n"/>
      <c r="B14" s="51">
        <f>IF(C12&gt;0,TRUNC(B12/C12,3),"")</f>
        <v/>
      </c>
      <c r="C14" s="9" t="n"/>
      <c r="D14" s="51">
        <f>IF(E12&gt;0,TRUNC(D12/E12,3),"")</f>
        <v/>
      </c>
      <c r="E14" s="9" t="n"/>
      <c r="F14" s="20" t="inlineStr">
        <is>
          <t>DS</t>
        </is>
      </c>
      <c r="G14" s="20" t="inlineStr">
        <is>
          <t>HS</t>
        </is>
      </c>
      <c r="H14" s="51">
        <f>IF(I12&gt;0,TRUNC(H12/I12,3),"")</f>
        <v/>
      </c>
      <c r="I14" s="30" t="n"/>
      <c r="J14" s="52" t="n"/>
      <c r="K14" s="52" t="n"/>
      <c r="L14" s="52" t="n"/>
      <c r="M14" s="52" t="n"/>
      <c r="N14" s="52" t="n"/>
      <c r="O14" s="52" t="n"/>
    </row>
    <row r="15" ht="24" customHeight="1" s="19" thickBot="1">
      <c r="A15" s="23">
        <f>IF(Teilnehmer!B9="","",Teilnehmer!B9)</f>
        <v/>
      </c>
      <c r="B15" s="9" t="n"/>
      <c r="C15" s="9" t="n"/>
      <c r="D15" s="9" t="n"/>
      <c r="E15" s="9" t="n"/>
      <c r="F15" s="9" t="n"/>
      <c r="G15" s="9" t="n"/>
      <c r="H15" s="20" t="inlineStr">
        <is>
          <t>Bälle</t>
        </is>
      </c>
      <c r="I15" s="36" t="inlineStr">
        <is>
          <t>Aufn.</t>
        </is>
      </c>
      <c r="J15" s="33">
        <f>IF(COUNTA(B15,D15,F15)=0,"",SUM(B16,D16,F16))</f>
        <v/>
      </c>
      <c r="K15" s="37">
        <f>IF(J15="","",SUM(B15,D15,F15))</f>
        <v/>
      </c>
      <c r="L15" s="37">
        <f>IF(J15="","",SUM(C15,E15,G15))</f>
        <v/>
      </c>
      <c r="M15" s="48">
        <f>IF(L15&gt;0,TRUNC(K15/L15,3),"")</f>
        <v/>
      </c>
      <c r="N15" s="37">
        <f>IF(J15="","",MAX(C17,E17,G17))</f>
        <v/>
      </c>
      <c r="O15" s="37">
        <f>IF(J15="","",RANK(P15,($P$6,$P$9,$P$12,$P$15),0))</f>
        <v/>
      </c>
      <c r="P15">
        <f>IF(J15="","",J15*1000000+M15*1000+K15)</f>
        <v/>
      </c>
    </row>
    <row r="16" ht="24" customHeight="1" s="19" thickBot="1">
      <c r="A16" s="49" t="n"/>
      <c r="B16" s="21">
        <f>IF(OR(B15="",H6=""),"",IF(B15&gt;H6,2,IF(B15&lt;H6,0,1)))</f>
        <v/>
      </c>
      <c r="C16" s="47" t="n"/>
      <c r="D16" s="21">
        <f>IF(OR(D15="",H9=""),"",IF(D15&gt;H9,2,IF(D15&lt;H9,0,1)))</f>
        <v/>
      </c>
      <c r="E16" s="47" t="n"/>
      <c r="F16" s="21">
        <f>IF(OR(F15="",H12=""),"",IF(F15&gt;H12,2,IF(F15&lt;H12,0,1)))</f>
        <v/>
      </c>
      <c r="G16" s="47" t="n"/>
      <c r="H16" s="20" t="inlineStr">
        <is>
          <t>Partiepunkte</t>
        </is>
      </c>
      <c r="I16" s="47" t="n"/>
      <c r="J16" s="34" t="n"/>
      <c r="K16" s="34" t="n"/>
      <c r="L16" s="34" t="n"/>
      <c r="M16" s="34" t="n"/>
      <c r="N16" s="34" t="n"/>
      <c r="O16" s="34" t="n"/>
    </row>
    <row r="17" ht="24" customHeight="1" s="19" thickBot="1">
      <c r="A17" s="50" t="n"/>
      <c r="B17" s="51">
        <f>IF(C15&gt;0,TRUNC(B15/C15,3),"")</f>
        <v/>
      </c>
      <c r="C17" s="9" t="n"/>
      <c r="D17" s="51">
        <f>IF(E15&gt;0,TRUNC(D15/E15,3),"")</f>
        <v/>
      </c>
      <c r="E17" s="9" t="n"/>
      <c r="F17" s="51">
        <f>IF(G15&gt;0,TRUNC(F15/G15,3),"")</f>
        <v/>
      </c>
      <c r="G17" s="9" t="n"/>
      <c r="H17" s="20" t="inlineStr">
        <is>
          <t>DS</t>
        </is>
      </c>
      <c r="I17" s="36" t="inlineStr">
        <is>
          <t>HS</t>
        </is>
      </c>
      <c r="J17" s="52" t="n"/>
      <c r="K17" s="52" t="n"/>
      <c r="L17" s="52" t="n"/>
      <c r="M17" s="52" t="n"/>
      <c r="N17" s="52" t="n"/>
      <c r="O17" s="52" t="n"/>
    </row>
    <row r="18" ht="22" customHeight="1" s="19"/>
    <row r="19" ht="22" customHeight="1" s="19"/>
    <row r="20" ht="24" customHeight="1" s="19" thickBot="1">
      <c r="A20" s="25" t="inlineStr">
        <is>
          <t>Gruppe 2</t>
        </is>
      </c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</row>
    <row r="21" ht="22" customHeight="1" s="19" thickBot="1">
      <c r="A21" s="6" t="inlineStr">
        <is>
          <t>Name</t>
        </is>
      </c>
      <c r="B21" s="23">
        <f>IF(Teilnehmer!B3="","",Teilnehmer!B3)</f>
        <v/>
      </c>
      <c r="C21" s="47" t="n"/>
      <c r="D21" s="23">
        <f>IF(Teilnehmer!B4="","",Teilnehmer!B4)</f>
        <v/>
      </c>
      <c r="E21" s="47" t="n"/>
      <c r="F21" s="23">
        <f>IF(Teilnehmer!B7="","",Teilnehmer!B7)</f>
        <v/>
      </c>
      <c r="G21" s="47" t="n"/>
      <c r="H21" s="23">
        <f>IF(Teilnehmer!B8="","",Teilnehmer!B8)</f>
        <v/>
      </c>
      <c r="I21" s="47" t="n"/>
      <c r="J21" s="32" t="inlineStr">
        <is>
          <t>Partie-punkte</t>
        </is>
      </c>
      <c r="K21" s="32" t="inlineStr">
        <is>
          <t>Bälle</t>
        </is>
      </c>
      <c r="L21" s="32" t="inlineStr">
        <is>
          <t>Aufn.</t>
        </is>
      </c>
      <c r="M21" s="32" t="inlineStr">
        <is>
          <t>GD</t>
        </is>
      </c>
      <c r="N21" s="32" t="inlineStr">
        <is>
          <t>HS</t>
        </is>
      </c>
      <c r="O21" s="32" t="inlineStr">
        <is>
          <t>Platz</t>
        </is>
      </c>
    </row>
    <row r="22" ht="24" customHeight="1" s="19" thickBot="1">
      <c r="A22" s="23">
        <f>IF(Teilnehmer!B3="","",Teilnehmer!B3)</f>
        <v/>
      </c>
      <c r="B22" s="20" t="inlineStr">
        <is>
          <t>Bälle</t>
        </is>
      </c>
      <c r="C22" s="20" t="inlineStr">
        <is>
          <t>Aufn.</t>
        </is>
      </c>
      <c r="D22" s="9" t="n"/>
      <c r="E22" s="9" t="n"/>
      <c r="F22" s="9" t="n"/>
      <c r="G22" s="9" t="n"/>
      <c r="H22" s="9" t="n"/>
      <c r="I22" s="30" t="n"/>
      <c r="J22" s="39">
        <f>IF(COUNTA(D22,F22,H22)=0,"",SUM(D23,F23,H23))</f>
        <v/>
      </c>
      <c r="K22" s="42">
        <f>IF(J22="","",SUM(D22,F22,H22))</f>
        <v/>
      </c>
      <c r="L22" s="42">
        <f>IF(J22="","",SUM(E22,G22,I22))</f>
        <v/>
      </c>
      <c r="M22" s="53">
        <f>IF(L22&gt;0,TRUNC(K22/L22,3),"")</f>
        <v/>
      </c>
      <c r="N22" s="42">
        <f>IF(J22="","",MAX(E24,G24,I24))</f>
        <v/>
      </c>
      <c r="O22" s="42">
        <f>IF(J22="","",RANK(P22,($P$22,$P$25,$P$28,$P$31),0))</f>
        <v/>
      </c>
      <c r="P22">
        <f>IF(J22="","",J22*1000000+M22*1000+K22)</f>
        <v/>
      </c>
    </row>
    <row r="23" ht="24" customHeight="1" s="19" thickBot="1">
      <c r="A23" s="49" t="n"/>
      <c r="B23" s="20" t="inlineStr">
        <is>
          <t>Partiepunkte</t>
        </is>
      </c>
      <c r="C23" s="47" t="n"/>
      <c r="D23" s="21">
        <f>IF(OR(D22="",B25=""),"",IF(D22&gt;B25,2,IF(D22&lt;B25,0,1)))</f>
        <v/>
      </c>
      <c r="E23" s="47" t="n"/>
      <c r="F23" s="21">
        <f>IF(OR(F22="",B28=""),"",IF(F22&gt;B28,2,IF(F22&lt;B28,0,1)))</f>
        <v/>
      </c>
      <c r="G23" s="47" t="n"/>
      <c r="H23" s="21">
        <f>IF(OR(H22="",B31=""),"",IF(H22&gt;B31,2,IF(H22&lt;B31,0,1)))</f>
        <v/>
      </c>
      <c r="I23" s="47" t="n"/>
      <c r="J23" s="40" t="n"/>
      <c r="K23" s="40" t="n"/>
      <c r="L23" s="40" t="n"/>
      <c r="M23" s="40" t="n"/>
      <c r="N23" s="40" t="n"/>
      <c r="O23" s="40" t="n"/>
    </row>
    <row r="24" ht="24" customHeight="1" s="19" thickBot="1">
      <c r="A24" s="50" t="n"/>
      <c r="B24" s="20" t="inlineStr">
        <is>
          <t>DS</t>
        </is>
      </c>
      <c r="C24" s="20" t="inlineStr">
        <is>
          <t>HS</t>
        </is>
      </c>
      <c r="D24" s="51">
        <f>IF(E22&gt;0,TRUNC(D22/E22,3),"")</f>
        <v/>
      </c>
      <c r="E24" s="9" t="n"/>
      <c r="F24" s="51">
        <f>IF(G22&gt;0,TRUNC(F22/G22,3),"")</f>
        <v/>
      </c>
      <c r="G24" s="9" t="n"/>
      <c r="H24" s="51">
        <f>IF(I22&gt;0,TRUNC(H22/I22,3),"")</f>
        <v/>
      </c>
      <c r="I24" s="30" t="n"/>
      <c r="J24" s="54" t="n"/>
      <c r="K24" s="54" t="n"/>
      <c r="L24" s="54" t="n"/>
      <c r="M24" s="54" t="n"/>
      <c r="N24" s="54" t="n"/>
      <c r="O24" s="54" t="n"/>
    </row>
    <row r="25" ht="24" customHeight="1" s="19" thickBot="1">
      <c r="A25" s="23">
        <f>IF(Teilnehmer!B4="","",Teilnehmer!B4)</f>
        <v/>
      </c>
      <c r="B25" s="9" t="n"/>
      <c r="C25" s="9" t="n"/>
      <c r="D25" s="20" t="inlineStr">
        <is>
          <t>Bälle</t>
        </is>
      </c>
      <c r="E25" s="20" t="inlineStr">
        <is>
          <t>Aufn.</t>
        </is>
      </c>
      <c r="F25" s="9" t="n"/>
      <c r="G25" s="9" t="n"/>
      <c r="H25" s="9" t="n"/>
      <c r="I25" s="30" t="n"/>
      <c r="J25" s="39">
        <f>IF(COUNTA(B25,F25,H25)=0,"",SUM(B26,F26,H26))</f>
        <v/>
      </c>
      <c r="K25" s="42">
        <f>IF(J25="","",SUM(B25,F25,H25))</f>
        <v/>
      </c>
      <c r="L25" s="42">
        <f>IF(J25="","",SUM(C25,G25,I25))</f>
        <v/>
      </c>
      <c r="M25" s="53">
        <f>IF(L25&gt;0,TRUNC(K25/L25,3),"")</f>
        <v/>
      </c>
      <c r="N25" s="42">
        <f>IF(J25="","",MAX(C27,G27,I27))</f>
        <v/>
      </c>
      <c r="O25" s="42">
        <f>IF(J25="","",RANK(P25,($P$22,$P$25,$P$28,$P$31),0))</f>
        <v/>
      </c>
      <c r="P25">
        <f>IF(J25="","",J25*1000000+M25*1000+K25)</f>
        <v/>
      </c>
    </row>
    <row r="26" ht="24" customHeight="1" s="19" thickBot="1">
      <c r="A26" s="49" t="n"/>
      <c r="B26" s="21">
        <f>IF(OR(B25="",D22=""),"",IF(B25&gt;D22,2,IF(B25&lt;D22,0,1)))</f>
        <v/>
      </c>
      <c r="C26" s="47" t="n"/>
      <c r="D26" s="20" t="inlineStr">
        <is>
          <t>Partiepunkte</t>
        </is>
      </c>
      <c r="E26" s="47" t="n"/>
      <c r="F26" s="21">
        <f>IF(OR(F25="",D28=""),"",IF(F25&gt;D28,2,IF(F25&lt;D28,0,1)))</f>
        <v/>
      </c>
      <c r="G26" s="47" t="n"/>
      <c r="H26" s="21">
        <f>IF(OR(H25="",D31=""),"",IF(H25&gt;D31,2,IF(H25&lt;D31,0,1)))</f>
        <v/>
      </c>
      <c r="I26" s="47" t="n"/>
      <c r="J26" s="40" t="n"/>
      <c r="K26" s="40" t="n"/>
      <c r="L26" s="40" t="n"/>
      <c r="M26" s="40" t="n"/>
      <c r="N26" s="40" t="n"/>
      <c r="O26" s="40" t="n"/>
    </row>
    <row r="27" ht="24" customHeight="1" s="19" thickBot="1">
      <c r="A27" s="50" t="n"/>
      <c r="B27" s="51">
        <f>IF(C25&gt;0,TRUNC(B25/C25,3),"")</f>
        <v/>
      </c>
      <c r="C27" s="9" t="n"/>
      <c r="D27" s="20" t="inlineStr">
        <is>
          <t>DS</t>
        </is>
      </c>
      <c r="E27" s="20" t="inlineStr">
        <is>
          <t>HS</t>
        </is>
      </c>
      <c r="F27" s="51">
        <f>IF(G25&gt;0,TRUNC(F25/G25,3),"")</f>
        <v/>
      </c>
      <c r="G27" s="9" t="n"/>
      <c r="H27" s="51">
        <f>IF(I25&gt;0,TRUNC(H25/I25,3),"")</f>
        <v/>
      </c>
      <c r="I27" s="30" t="n"/>
      <c r="J27" s="54" t="n"/>
      <c r="K27" s="54" t="n"/>
      <c r="L27" s="54" t="n"/>
      <c r="M27" s="54" t="n"/>
      <c r="N27" s="54" t="n"/>
      <c r="O27" s="54" t="n"/>
    </row>
    <row r="28" ht="24" customHeight="1" s="19" thickBot="1">
      <c r="A28" s="23">
        <f>IF(Teilnehmer!B7="","",Teilnehmer!B7)</f>
        <v/>
      </c>
      <c r="B28" s="9" t="n"/>
      <c r="C28" s="9" t="n"/>
      <c r="D28" s="9" t="n"/>
      <c r="E28" s="9" t="n"/>
      <c r="F28" s="20" t="inlineStr">
        <is>
          <t>Bälle</t>
        </is>
      </c>
      <c r="G28" s="20" t="inlineStr">
        <is>
          <t>Aufn.</t>
        </is>
      </c>
      <c r="H28" s="9" t="n"/>
      <c r="I28" s="30" t="n"/>
      <c r="J28" s="39">
        <f>IF(COUNTA(B28,D28,H28)=0,"",SUM(B29,D29,H29))</f>
        <v/>
      </c>
      <c r="K28" s="42">
        <f>IF(J28="","",SUM(B28,D28,H28))</f>
        <v/>
      </c>
      <c r="L28" s="42">
        <f>IF(J28="","",SUM(C28,E28,I28))</f>
        <v/>
      </c>
      <c r="M28" s="53">
        <f>IF(L28&gt;0,TRUNC(K28/L28,3),"")</f>
        <v/>
      </c>
      <c r="N28" s="42">
        <f>IF(J28="","",MAX(C30,E30,I30))</f>
        <v/>
      </c>
      <c r="O28" s="42">
        <f>IF(J28="","",RANK(P28,($P$22,$P$25,$P$28,$P$31),0))</f>
        <v/>
      </c>
      <c r="P28">
        <f>IF(J28="","",J28*1000000+M28*1000+K28)</f>
        <v/>
      </c>
    </row>
    <row r="29" ht="24" customHeight="1" s="19" thickBot="1">
      <c r="A29" s="49" t="n"/>
      <c r="B29" s="21">
        <f>IF(OR(B28="",F22=""),"",IF(B28&gt;F22,2,IF(B28&lt;F22,0,1)))</f>
        <v/>
      </c>
      <c r="C29" s="47" t="n"/>
      <c r="D29" s="21">
        <f>IF(OR(D28="",F25=""),"",IF(D28&gt;F25,2,IF(D28&lt;F25,0,1)))</f>
        <v/>
      </c>
      <c r="E29" s="47" t="n"/>
      <c r="F29" s="20" t="inlineStr">
        <is>
          <t>Partiepunkte</t>
        </is>
      </c>
      <c r="G29" s="47" t="n"/>
      <c r="H29" s="21">
        <f>IF(OR(H28="",F31=""),"",IF(H28&gt;F31,2,IF(H28&lt;F31,0,1)))</f>
        <v/>
      </c>
      <c r="I29" s="47" t="n"/>
      <c r="J29" s="40" t="n"/>
      <c r="K29" s="40" t="n"/>
      <c r="L29" s="40" t="n"/>
      <c r="M29" s="40" t="n"/>
      <c r="N29" s="40" t="n"/>
      <c r="O29" s="40" t="n"/>
    </row>
    <row r="30" ht="24" customHeight="1" s="19" thickBot="1">
      <c r="A30" s="50" t="n"/>
      <c r="B30" s="51">
        <f>IF(C28&gt;0,TRUNC(B28/C28,3),"")</f>
        <v/>
      </c>
      <c r="C30" s="9" t="n"/>
      <c r="D30" s="51">
        <f>IF(E28&gt;0,TRUNC(D28/E28,3),"")</f>
        <v/>
      </c>
      <c r="E30" s="9" t="n"/>
      <c r="F30" s="20" t="inlineStr">
        <is>
          <t>DS</t>
        </is>
      </c>
      <c r="G30" s="20" t="inlineStr">
        <is>
          <t>HS</t>
        </is>
      </c>
      <c r="H30" s="51">
        <f>IF(I28&gt;0,TRUNC(H28/I28,3),"")</f>
        <v/>
      </c>
      <c r="I30" s="30" t="n"/>
      <c r="J30" s="54" t="n"/>
      <c r="K30" s="54" t="n"/>
      <c r="L30" s="54" t="n"/>
      <c r="M30" s="54" t="n"/>
      <c r="N30" s="54" t="n"/>
      <c r="O30" s="54" t="n"/>
    </row>
    <row r="31" ht="24" customHeight="1" s="19" thickBot="1">
      <c r="A31" s="23">
        <f>IF(Teilnehmer!B8="","",Teilnehmer!B8)</f>
        <v/>
      </c>
      <c r="B31" s="9" t="n"/>
      <c r="C31" s="9" t="n"/>
      <c r="D31" s="9" t="n"/>
      <c r="E31" s="9" t="n"/>
      <c r="F31" s="9" t="n"/>
      <c r="G31" s="9" t="n"/>
      <c r="H31" s="20" t="inlineStr">
        <is>
          <t>Bälle</t>
        </is>
      </c>
      <c r="I31" s="36" t="inlineStr">
        <is>
          <t>Aufn.</t>
        </is>
      </c>
      <c r="J31" s="39">
        <f>IF(COUNTA(B31,D31,F31)=0,"",SUM(B32,D32,F32))</f>
        <v/>
      </c>
      <c r="K31" s="42">
        <f>IF(J31="","",SUM(B31,D31,F31))</f>
        <v/>
      </c>
      <c r="L31" s="42">
        <f>IF(J31="","",SUM(C31,E31,G31))</f>
        <v/>
      </c>
      <c r="M31" s="53">
        <f>IF(L31&gt;0,TRUNC(K31/L31,3),"")</f>
        <v/>
      </c>
      <c r="N31" s="42">
        <f>IF(J31="","",MAX(C33,E33,G33))</f>
        <v/>
      </c>
      <c r="O31" s="42">
        <f>IF(J31="","",RANK(P31,($P$22,$P$25,$P$28,$P$31),0))</f>
        <v/>
      </c>
      <c r="P31">
        <f>IF(J31="","",J31*1000000+M31*1000+K31)</f>
        <v/>
      </c>
    </row>
    <row r="32" ht="24" customHeight="1" s="19" thickBot="1">
      <c r="A32" s="49" t="n"/>
      <c r="B32" s="21">
        <f>IF(OR(B31="",H22=""),"",IF(B31&gt;H22,2,IF(B31&lt;H22,0,1)))</f>
        <v/>
      </c>
      <c r="C32" s="47" t="n"/>
      <c r="D32" s="21">
        <f>IF(OR(D31="",H25=""),"",IF(D31&gt;H25,2,IF(D31&lt;H25,0,1)))</f>
        <v/>
      </c>
      <c r="E32" s="47" t="n"/>
      <c r="F32" s="21">
        <f>IF(OR(F31="",H28=""),"",IF(F31&gt;H28,2,IF(F31&lt;H28,0,1)))</f>
        <v/>
      </c>
      <c r="G32" s="47" t="n"/>
      <c r="H32" s="20" t="inlineStr">
        <is>
          <t>Partiepunkte</t>
        </is>
      </c>
      <c r="I32" s="47" t="n"/>
      <c r="J32" s="40" t="n"/>
      <c r="K32" s="40" t="n"/>
      <c r="L32" s="40" t="n"/>
      <c r="M32" s="40" t="n"/>
      <c r="N32" s="40" t="n"/>
      <c r="O32" s="40" t="n"/>
    </row>
    <row r="33" ht="24" customHeight="1" s="19" thickBot="1">
      <c r="A33" s="50" t="n"/>
      <c r="B33" s="51">
        <f>IF(C31&gt;0,TRUNC(B31/C31,3),"")</f>
        <v/>
      </c>
      <c r="C33" s="9" t="n"/>
      <c r="D33" s="51">
        <f>IF(E31&gt;0,TRUNC(D31/E31,3),"")</f>
        <v/>
      </c>
      <c r="E33" s="9" t="n"/>
      <c r="F33" s="51">
        <f>IF(G31&gt;0,TRUNC(F31/G31,3),"")</f>
        <v/>
      </c>
      <c r="G33" s="9" t="n"/>
      <c r="H33" s="20" t="inlineStr">
        <is>
          <t>DS</t>
        </is>
      </c>
      <c r="I33" s="36" t="inlineStr">
        <is>
          <t>HS</t>
        </is>
      </c>
      <c r="J33" s="54" t="n"/>
      <c r="K33" s="54" t="n"/>
      <c r="L33" s="54" t="n"/>
      <c r="M33" s="54" t="n"/>
      <c r="N33" s="54" t="n"/>
      <c r="O33" s="54" t="n"/>
    </row>
    <row r="34" ht="22" customHeight="1" s="19"/>
    <row r="35" ht="22" customHeight="1" s="19"/>
    <row r="36" ht="22" customHeight="1" s="19"/>
    <row r="37" ht="24" customHeight="1" s="19"/>
    <row r="38" ht="24" customHeight="1" s="19"/>
    <row r="39" ht="22" customHeight="1" s="19"/>
    <row r="40" ht="22" customHeight="1" s="19"/>
    <row r="41" ht="22" customHeight="1" s="19"/>
    <row r="42" ht="22" customHeight="1" s="19"/>
    <row r="43" ht="22" customHeight="1" s="19"/>
    <row r="44" ht="22" customHeight="1" s="19"/>
    <row r="45" ht="22" customHeight="1" s="19"/>
    <row r="46" ht="22" customHeight="1" s="19"/>
    <row r="47" ht="22" customHeight="1" s="19"/>
    <row r="48" ht="22" customHeight="1" s="19"/>
    <row r="49" ht="22" customHeight="1" s="19"/>
    <row r="50" ht="22" customHeight="1" s="19"/>
    <row r="52" ht="24" customHeight="1" s="19"/>
    <row r="53" ht="24" customHeight="1" s="19"/>
    <row r="54" ht="22" customHeight="1" s="19"/>
    <row r="55" ht="22" customHeight="1" s="19"/>
    <row r="56" ht="22" customHeight="1" s="19"/>
    <row r="57" ht="22" customHeight="1" s="19"/>
    <row r="58" ht="22" customHeight="1" s="19"/>
    <row r="59" ht="22" customHeight="1" s="19"/>
    <row r="60" ht="22" customHeight="1" s="19"/>
    <row r="61" ht="22" customHeight="1" s="19"/>
    <row r="62" ht="22" customHeight="1" s="19"/>
    <row r="63" ht="22" customHeight="1" s="19"/>
    <row r="64" ht="22" customHeight="1" s="19"/>
    <row r="65" ht="22" customHeight="1" s="19"/>
    <row r="67" ht="24" customHeight="1" s="19"/>
    <row r="68" ht="24" customHeight="1" s="19"/>
    <row r="69" ht="22" customHeight="1" s="19"/>
    <row r="70" ht="22" customHeight="1" s="19"/>
    <row r="71" ht="22" customHeight="1" s="19"/>
    <row r="72" ht="22" customHeight="1" s="19"/>
    <row r="73" ht="22" customHeight="1" s="19"/>
    <row r="74" ht="22" customHeight="1" s="19"/>
    <row r="75" ht="22" customHeight="1" s="19"/>
    <row r="76" ht="22" customHeight="1" s="19"/>
    <row r="77" ht="22" customHeight="1" s="19"/>
    <row r="78" ht="22" customHeight="1" s="19"/>
    <row r="79" ht="22" customHeight="1" s="19"/>
    <row r="80" ht="22" customHeight="1" s="19"/>
  </sheetData>
  <mergeCells count="99">
    <mergeCell ref="O31:O33"/>
    <mergeCell ref="M12:M14"/>
    <mergeCell ref="F29:G29"/>
    <mergeCell ref="O12:O14"/>
    <mergeCell ref="F16:G16"/>
    <mergeCell ref="H10:I10"/>
    <mergeCell ref="J25:J27"/>
    <mergeCell ref="L25:L27"/>
    <mergeCell ref="N28:N30"/>
    <mergeCell ref="N6:N8"/>
    <mergeCell ref="L9:L11"/>
    <mergeCell ref="N9:N11"/>
    <mergeCell ref="B21:C21"/>
    <mergeCell ref="D13:E13"/>
    <mergeCell ref="A15:A17"/>
    <mergeCell ref="B13:C13"/>
    <mergeCell ref="D7:E7"/>
    <mergeCell ref="F23:G23"/>
    <mergeCell ref="F13:G13"/>
    <mergeCell ref="A6:A8"/>
    <mergeCell ref="H13:I13"/>
    <mergeCell ref="M6:M8"/>
    <mergeCell ref="J15:J17"/>
    <mergeCell ref="L15:L17"/>
    <mergeCell ref="M25:M27"/>
    <mergeCell ref="O25:O27"/>
    <mergeCell ref="B32:C32"/>
    <mergeCell ref="H23:I23"/>
    <mergeCell ref="B26:C26"/>
    <mergeCell ref="D26:E26"/>
    <mergeCell ref="A12:A14"/>
    <mergeCell ref="B16:C16"/>
    <mergeCell ref="D10:E10"/>
    <mergeCell ref="F10:G10"/>
    <mergeCell ref="F5:G5"/>
    <mergeCell ref="A31:A33"/>
    <mergeCell ref="K15:K17"/>
    <mergeCell ref="A20:O20"/>
    <mergeCell ref="B29:C29"/>
    <mergeCell ref="O15:O17"/>
    <mergeCell ref="J28:J30"/>
    <mergeCell ref="J6:J8"/>
    <mergeCell ref="L28:L30"/>
    <mergeCell ref="N22:N24"/>
    <mergeCell ref="L12:L14"/>
    <mergeCell ref="N12:N14"/>
    <mergeCell ref="D29:E29"/>
    <mergeCell ref="A25:A27"/>
    <mergeCell ref="D23:E23"/>
    <mergeCell ref="H5:I5"/>
    <mergeCell ref="K12:K14"/>
    <mergeCell ref="B7:C7"/>
    <mergeCell ref="A22:A24"/>
    <mergeCell ref="F7:G7"/>
    <mergeCell ref="F21:G21"/>
    <mergeCell ref="K28:K30"/>
    <mergeCell ref="K6:K8"/>
    <mergeCell ref="H21:I21"/>
    <mergeCell ref="A28:A30"/>
    <mergeCell ref="K25:K27"/>
    <mergeCell ref="O28:O30"/>
    <mergeCell ref="O6:O8"/>
    <mergeCell ref="K9:K11"/>
    <mergeCell ref="M9:M11"/>
    <mergeCell ref="O9:O11"/>
    <mergeCell ref="H16:I16"/>
    <mergeCell ref="N25:N27"/>
    <mergeCell ref="J9:J11"/>
    <mergeCell ref="B5:C5"/>
    <mergeCell ref="D5:E5"/>
    <mergeCell ref="D1:K1"/>
    <mergeCell ref="H29:I29"/>
    <mergeCell ref="J22:J24"/>
    <mergeCell ref="L22:L24"/>
    <mergeCell ref="J31:J33"/>
    <mergeCell ref="L31:L33"/>
    <mergeCell ref="D21:E21"/>
    <mergeCell ref="N31:N33"/>
    <mergeCell ref="J12:J14"/>
    <mergeCell ref="L6:L8"/>
    <mergeCell ref="N15:N17"/>
    <mergeCell ref="B23:C23"/>
    <mergeCell ref="D32:E32"/>
    <mergeCell ref="F32:G32"/>
    <mergeCell ref="F26:G26"/>
    <mergeCell ref="A4:O4"/>
    <mergeCell ref="A9:A11"/>
    <mergeCell ref="D16:E16"/>
    <mergeCell ref="H32:I32"/>
    <mergeCell ref="H7:I7"/>
    <mergeCell ref="B10:C10"/>
    <mergeCell ref="K22:K24"/>
    <mergeCell ref="M22:M24"/>
    <mergeCell ref="K31:K33"/>
    <mergeCell ref="M31:M33"/>
    <mergeCell ref="M15:M17"/>
    <mergeCell ref="M28:M30"/>
    <mergeCell ref="O22:O24"/>
    <mergeCell ref="H26:I26"/>
  </mergeCells>
  <pageMargins left="0.75" right="0.75" top="1" bottom="1" header="0.5" footer="0.5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showGridLines="0" zoomScale="125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3"/>
  <cols>
    <col width="12" customWidth="1" style="19" min="1" max="1"/>
    <col width="28" customWidth="1" style="19" min="2" max="2"/>
    <col width="16" customWidth="1" style="19" min="3" max="3"/>
    <col width="14" customWidth="1" style="19" min="4" max="4"/>
    <col width="16" customWidth="1" style="19" min="5" max="5"/>
    <col width="58" customWidth="1" style="19" min="6" max="6"/>
  </cols>
  <sheetData>
    <row r="1" ht="14" customHeight="1" s="19">
      <c r="A1" s="14" t="inlineStr">
        <is>
          <t>Setzposition</t>
        </is>
      </c>
      <c r="B1" s="14" t="inlineStr">
        <is>
          <t>Spieler</t>
        </is>
      </c>
      <c r="C1" s="14" t="inlineStr">
        <is>
          <t>Passnummer</t>
        </is>
      </c>
      <c r="D1" s="14" t="inlineStr">
        <is>
          <t>Gruppe</t>
        </is>
      </c>
      <c r="E1" s="14" t="inlineStr">
        <is>
          <t>Gruppenposition</t>
        </is>
      </c>
      <c r="F1" s="14" t="inlineStr">
        <is>
          <t>Hinweis</t>
        </is>
      </c>
    </row>
    <row r="2" ht="14" customHeight="1" s="19">
      <c r="A2" s="15" t="n">
        <v>1</v>
      </c>
      <c r="B2" s="16" t="n"/>
      <c r="C2" s="17" t="n"/>
      <c r="D2" s="15" t="inlineStr">
        <is>
          <t>Gruppe 1</t>
        </is>
      </c>
      <c r="E2" s="15" t="n">
        <v>1</v>
      </c>
      <c r="F2" s="18" t="inlineStr">
        <is>
          <t>Name und Passnummer hier eintragen</t>
        </is>
      </c>
    </row>
    <row r="3" ht="14" customHeight="1" s="19">
      <c r="A3" s="15" t="n">
        <v>2</v>
      </c>
      <c r="B3" s="16" t="n"/>
      <c r="C3" s="17" t="n"/>
      <c r="D3" s="15" t="inlineStr">
        <is>
          <t>Gruppe 2</t>
        </is>
      </c>
      <c r="E3" s="15" t="n">
        <v>1</v>
      </c>
      <c r="F3" s="18" t="inlineStr">
        <is>
          <t>Name und Passnummer hier eintragen</t>
        </is>
      </c>
    </row>
    <row r="4" ht="14" customHeight="1" s="19">
      <c r="A4" s="15" t="n">
        <v>3</v>
      </c>
      <c r="B4" s="16" t="n"/>
      <c r="C4" s="17" t="n"/>
      <c r="D4" s="15" t="inlineStr">
        <is>
          <t>Gruppe 2</t>
        </is>
      </c>
      <c r="E4" s="15" t="n">
        <v>2</v>
      </c>
      <c r="F4" s="18" t="inlineStr">
        <is>
          <t>Name und Passnummer hier eintragen</t>
        </is>
      </c>
    </row>
    <row r="5" ht="14" customHeight="1" s="19">
      <c r="A5" s="15" t="n">
        <v>4</v>
      </c>
      <c r="B5" s="16" t="n"/>
      <c r="C5" s="17" t="n"/>
      <c r="D5" s="15" t="inlineStr">
        <is>
          <t>Gruppe 1</t>
        </is>
      </c>
      <c r="E5" s="15" t="n">
        <v>2</v>
      </c>
      <c r="F5" s="18" t="inlineStr">
        <is>
          <t>Name und Passnummer hier eintragen</t>
        </is>
      </c>
    </row>
    <row r="6" ht="14" customHeight="1" s="19">
      <c r="A6" s="15" t="n">
        <v>5</v>
      </c>
      <c r="B6" s="16" t="n"/>
      <c r="C6" s="17" t="n"/>
      <c r="D6" s="15" t="inlineStr">
        <is>
          <t>Gruppe 1</t>
        </is>
      </c>
      <c r="E6" s="15" t="n">
        <v>3</v>
      </c>
      <c r="F6" s="18" t="inlineStr">
        <is>
          <t>Name und Passnummer hier eintragen</t>
        </is>
      </c>
    </row>
    <row r="7" ht="14" customHeight="1" s="19">
      <c r="A7" s="15" t="n">
        <v>6</v>
      </c>
      <c r="B7" s="16" t="n"/>
      <c r="C7" s="17" t="n"/>
      <c r="D7" s="15" t="inlineStr">
        <is>
          <t>Gruppe 2</t>
        </is>
      </c>
      <c r="E7" s="15" t="n">
        <v>3</v>
      </c>
      <c r="F7" s="18" t="inlineStr">
        <is>
          <t>Name und Passnummer hier eintragen</t>
        </is>
      </c>
    </row>
    <row r="8" ht="14" customHeight="1" s="19">
      <c r="A8" s="15" t="n">
        <v>7</v>
      </c>
      <c r="B8" s="16" t="n"/>
      <c r="C8" s="17" t="n"/>
      <c r="D8" s="15" t="inlineStr">
        <is>
          <t>Gruppe 2</t>
        </is>
      </c>
      <c r="E8" s="15" t="n">
        <v>4</v>
      </c>
      <c r="F8" s="18" t="inlineStr">
        <is>
          <t>Name und Passnummer hier eintragen</t>
        </is>
      </c>
    </row>
    <row r="9" ht="14" customHeight="1" s="19">
      <c r="A9" s="15" t="n">
        <v>8</v>
      </c>
      <c r="B9" s="16" t="n"/>
      <c r="C9" s="17" t="n"/>
      <c r="D9" s="15" t="inlineStr">
        <is>
          <t>Gruppe 1</t>
        </is>
      </c>
      <c r="E9" s="15" t="n">
        <v>4</v>
      </c>
      <c r="F9" s="18" t="inlineStr">
        <is>
          <t>Name und Passnummer hier eintragen</t>
        </is>
      </c>
    </row>
    <row r="11" ht="28" customHeight="1" s="19">
      <c r="A11" s="27" t="inlineStr">
        <is>
          <t>Diese acht Namen werden automatisch in das Tableau übernommen. CSV Export verwendet die Passnummern.</t>
        </is>
      </c>
      <c r="B11" s="28" t="n"/>
      <c r="C11" s="28" t="n"/>
      <c r="D11" s="28" t="n"/>
      <c r="E11" s="28" t="n"/>
      <c r="F11" s="29" t="n"/>
    </row>
  </sheetData>
  <mergeCells count="1">
    <mergeCell ref="A11:F11"/>
  </mergeCells>
  <pageMargins left="0.75" right="0.75" top="1" bottom="1" header="0.5" footer="0.5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3"/>
  <cols>
    <col width="18" customWidth="1" style="19" min="1" max="1"/>
    <col width="8" customWidth="1" style="19" min="2" max="2"/>
    <col width="9" customWidth="1" style="19" min="3" max="3"/>
    <col width="18" customWidth="1" style="19" min="4" max="5"/>
    <col width="16" customWidth="1" style="19" min="6" max="7"/>
    <col width="18" customWidth="1" style="19" min="8" max="9"/>
    <col width="20" customWidth="1" style="19" min="10" max="11"/>
    <col width="14" customWidth="1" style="19" min="12" max="12"/>
    <col width="10" customWidth="1" style="19" min="13" max="13"/>
  </cols>
  <sheetData>
    <row r="1" ht="28" customHeight="1" s="19">
      <c r="A1" s="4" t="inlineStr">
        <is>
          <t>GRUPPE/RUNDE</t>
        </is>
      </c>
      <c r="B1" s="4" t="inlineStr">
        <is>
          <t>PARTIE</t>
        </is>
      </c>
      <c r="C1" s="4" t="inlineStr">
        <is>
          <t>SATZ-NR.</t>
        </is>
      </c>
      <c r="D1" s="4" t="inlineStr">
        <is>
          <t>PASS-NR. SPIELER 1</t>
        </is>
      </c>
      <c r="E1" s="4" t="inlineStr">
        <is>
          <t>PASS-NR. SPIELER 2</t>
        </is>
      </c>
      <c r="F1" s="4" t="inlineStr">
        <is>
          <t>PUNKTE SPIELER 1</t>
        </is>
      </c>
      <c r="G1" s="4" t="inlineStr">
        <is>
          <t>PUNKTE SPIELER 2</t>
        </is>
      </c>
      <c r="H1" s="4" t="inlineStr">
        <is>
          <t>AUFNAHMEN SPIELER 1</t>
        </is>
      </c>
      <c r="I1" s="4" t="inlineStr">
        <is>
          <t>AUFNAHMEN SPIELER 2</t>
        </is>
      </c>
      <c r="J1" s="4" t="inlineStr">
        <is>
          <t>HÖCHSTSERIE SPIELER 1</t>
        </is>
      </c>
      <c r="K1" s="4" t="inlineStr">
        <is>
          <t>HÖCHSTSERIE SPIELER 2</t>
        </is>
      </c>
      <c r="L1" s="4" t="inlineStr">
        <is>
          <t>DATUM</t>
        </is>
      </c>
      <c r="M1" s="4" t="inlineStr">
        <is>
          <t>UHRZEIT</t>
        </is>
      </c>
    </row>
    <row r="2" ht="14" customHeight="1" s="19">
      <c r="A2" s="15" t="inlineStr">
        <is>
          <t>Gruppe 1</t>
        </is>
      </c>
      <c r="B2" s="15" t="n">
        <v>1</v>
      </c>
      <c r="C2" s="15" t="n">
        <v>1</v>
      </c>
      <c r="D2" s="15">
        <f>IF(Teilnehmer!C2="","",Teilnehmer!C2)</f>
        <v/>
      </c>
      <c r="E2" s="15">
        <f>IF(Teilnehmer!C5="","",Teilnehmer!C5)</f>
        <v/>
      </c>
      <c r="F2" s="15">
        <f>IF(Tableau!D6="","",Tableau!D6)</f>
        <v/>
      </c>
      <c r="G2" s="15">
        <f>IF(Tableau!B9="","",Tableau!B9)</f>
        <v/>
      </c>
      <c r="H2" s="15">
        <f>IF(Tableau!E6="","",Tableau!E6)</f>
        <v/>
      </c>
      <c r="I2" s="15">
        <f>IF(Tableau!C9="","",Tableau!C9)</f>
        <v/>
      </c>
      <c r="J2" s="15">
        <f>IF(Tableau!E8="","",Tableau!E8)</f>
        <v/>
      </c>
      <c r="K2" s="15">
        <f>IF(Tableau!C11="","",Tableau!C11)</f>
        <v/>
      </c>
      <c r="L2" s="15">
        <f>Tableau!O2</f>
        <v/>
      </c>
      <c r="M2" s="15" t="n"/>
    </row>
    <row r="3" ht="14" customHeight="1" s="19">
      <c r="A3" s="15" t="inlineStr">
        <is>
          <t>Gruppe 1</t>
        </is>
      </c>
      <c r="B3" s="15" t="n">
        <v>2</v>
      </c>
      <c r="C3" s="15" t="n">
        <v>1</v>
      </c>
      <c r="D3" s="15">
        <f>IF(Teilnehmer!C2="","",Teilnehmer!C2)</f>
        <v/>
      </c>
      <c r="E3" s="15">
        <f>IF(Teilnehmer!C6="","",Teilnehmer!C6)</f>
        <v/>
      </c>
      <c r="F3" s="15">
        <f>IF(Tableau!F6="","",Tableau!F6)</f>
        <v/>
      </c>
      <c r="G3" s="15">
        <f>IF(Tableau!B12="","",Tableau!B12)</f>
        <v/>
      </c>
      <c r="H3" s="15">
        <f>IF(Tableau!G6="","",Tableau!G6)</f>
        <v/>
      </c>
      <c r="I3" s="15">
        <f>IF(Tableau!C12="","",Tableau!C12)</f>
        <v/>
      </c>
      <c r="J3" s="15">
        <f>IF(Tableau!G8="","",Tableau!G8)</f>
        <v/>
      </c>
      <c r="K3" s="15">
        <f>IF(Tableau!C14="","",Tableau!C14)</f>
        <v/>
      </c>
      <c r="L3" s="15">
        <f>Tableau!O2</f>
        <v/>
      </c>
      <c r="M3" s="15" t="n"/>
    </row>
    <row r="4" ht="14" customHeight="1" s="19">
      <c r="A4" s="15" t="inlineStr">
        <is>
          <t>Gruppe 1</t>
        </is>
      </c>
      <c r="B4" s="15" t="n">
        <v>3</v>
      </c>
      <c r="C4" s="15" t="n">
        <v>1</v>
      </c>
      <c r="D4" s="15">
        <f>IF(Teilnehmer!C2="","",Teilnehmer!C2)</f>
        <v/>
      </c>
      <c r="E4" s="15">
        <f>IF(Teilnehmer!C9="","",Teilnehmer!C9)</f>
        <v/>
      </c>
      <c r="F4" s="15">
        <f>IF(Tableau!H6="","",Tableau!H6)</f>
        <v/>
      </c>
      <c r="G4" s="15">
        <f>IF(Tableau!B15="","",Tableau!B15)</f>
        <v/>
      </c>
      <c r="H4" s="15">
        <f>IF(Tableau!I6="","",Tableau!I6)</f>
        <v/>
      </c>
      <c r="I4" s="15">
        <f>IF(Tableau!C15="","",Tableau!C15)</f>
        <v/>
      </c>
      <c r="J4" s="15">
        <f>IF(Tableau!I8="","",Tableau!I8)</f>
        <v/>
      </c>
      <c r="K4" s="15">
        <f>IF(Tableau!C17="","",Tableau!C17)</f>
        <v/>
      </c>
      <c r="L4" s="15">
        <f>Tableau!O2</f>
        <v/>
      </c>
      <c r="M4" s="15" t="n"/>
    </row>
    <row r="5" ht="14" customHeight="1" s="19">
      <c r="A5" s="15" t="inlineStr">
        <is>
          <t>Gruppe 1</t>
        </is>
      </c>
      <c r="B5" s="15" t="n">
        <v>4</v>
      </c>
      <c r="C5" s="15" t="n">
        <v>1</v>
      </c>
      <c r="D5" s="15">
        <f>IF(Teilnehmer!C5="","",Teilnehmer!C5)</f>
        <v/>
      </c>
      <c r="E5" s="15">
        <f>IF(Teilnehmer!C6="","",Teilnehmer!C6)</f>
        <v/>
      </c>
      <c r="F5" s="15">
        <f>IF(Tableau!F9="","",Tableau!F9)</f>
        <v/>
      </c>
      <c r="G5" s="15">
        <f>IF(Tableau!D12="","",Tableau!D12)</f>
        <v/>
      </c>
      <c r="H5" s="15">
        <f>IF(Tableau!G9="","",Tableau!G9)</f>
        <v/>
      </c>
      <c r="I5" s="15">
        <f>IF(Tableau!E12="","",Tableau!E12)</f>
        <v/>
      </c>
      <c r="J5" s="15">
        <f>IF(Tableau!G11="","",Tableau!G11)</f>
        <v/>
      </c>
      <c r="K5" s="15">
        <f>IF(Tableau!E14="","",Tableau!E14)</f>
        <v/>
      </c>
      <c r="L5" s="15">
        <f>Tableau!O2</f>
        <v/>
      </c>
      <c r="M5" s="15" t="n"/>
    </row>
    <row r="6" ht="14" customHeight="1" s="19">
      <c r="A6" s="15" t="inlineStr">
        <is>
          <t>Gruppe 1</t>
        </is>
      </c>
      <c r="B6" s="15" t="n">
        <v>5</v>
      </c>
      <c r="C6" s="15" t="n">
        <v>1</v>
      </c>
      <c r="D6" s="15">
        <f>IF(Teilnehmer!C5="","",Teilnehmer!C5)</f>
        <v/>
      </c>
      <c r="E6" s="15">
        <f>IF(Teilnehmer!C9="","",Teilnehmer!C9)</f>
        <v/>
      </c>
      <c r="F6" s="15">
        <f>IF(Tableau!H9="","",Tableau!H9)</f>
        <v/>
      </c>
      <c r="G6" s="15">
        <f>IF(Tableau!D15="","",Tableau!D15)</f>
        <v/>
      </c>
      <c r="H6" s="15">
        <f>IF(Tableau!I9="","",Tableau!I9)</f>
        <v/>
      </c>
      <c r="I6" s="15">
        <f>IF(Tableau!E15="","",Tableau!E15)</f>
        <v/>
      </c>
      <c r="J6" s="15">
        <f>IF(Tableau!I11="","",Tableau!I11)</f>
        <v/>
      </c>
      <c r="K6" s="15">
        <f>IF(Tableau!E17="","",Tableau!E17)</f>
        <v/>
      </c>
      <c r="L6" s="15">
        <f>Tableau!O2</f>
        <v/>
      </c>
      <c r="M6" s="15" t="n"/>
    </row>
    <row r="7" ht="14" customHeight="1" s="19">
      <c r="A7" s="15" t="inlineStr">
        <is>
          <t>Gruppe 1</t>
        </is>
      </c>
      <c r="B7" s="15" t="n">
        <v>6</v>
      </c>
      <c r="C7" s="15" t="n">
        <v>1</v>
      </c>
      <c r="D7" s="15">
        <f>IF(Teilnehmer!C6="","",Teilnehmer!C6)</f>
        <v/>
      </c>
      <c r="E7" s="15">
        <f>IF(Teilnehmer!C9="","",Teilnehmer!C9)</f>
        <v/>
      </c>
      <c r="F7" s="15">
        <f>IF(Tableau!H12="","",Tableau!H12)</f>
        <v/>
      </c>
      <c r="G7" s="15">
        <f>IF(Tableau!F15="","",Tableau!F15)</f>
        <v/>
      </c>
      <c r="H7" s="15">
        <f>IF(Tableau!I12="","",Tableau!I12)</f>
        <v/>
      </c>
      <c r="I7" s="15">
        <f>IF(Tableau!G15="","",Tableau!G15)</f>
        <v/>
      </c>
      <c r="J7" s="15">
        <f>IF(Tableau!I14="","",Tableau!I14)</f>
        <v/>
      </c>
      <c r="K7" s="15">
        <f>IF(Tableau!G17="","",Tableau!G17)</f>
        <v/>
      </c>
      <c r="L7" s="15">
        <f>Tableau!O2</f>
        <v/>
      </c>
      <c r="M7" s="15" t="n"/>
    </row>
    <row r="8" ht="14" customHeight="1" s="19">
      <c r="A8" s="15" t="inlineStr">
        <is>
          <t>Gruppe 2</t>
        </is>
      </c>
      <c r="B8" s="15" t="n">
        <v>7</v>
      </c>
      <c r="C8" s="15" t="n">
        <v>1</v>
      </c>
      <c r="D8" s="15">
        <f>IF(Teilnehmer!C3="","",Teilnehmer!C3)</f>
        <v/>
      </c>
      <c r="E8" s="15">
        <f>IF(Teilnehmer!C4="","",Teilnehmer!C4)</f>
        <v/>
      </c>
      <c r="F8" s="15">
        <f>IF(Tableau!D22="","",Tableau!D22)</f>
        <v/>
      </c>
      <c r="G8" s="15">
        <f>IF(Tableau!B25="","",Tableau!B25)</f>
        <v/>
      </c>
      <c r="H8" s="15">
        <f>IF(Tableau!E22="","",Tableau!E22)</f>
        <v/>
      </c>
      <c r="I8" s="15">
        <f>IF(Tableau!C25="","",Tableau!C25)</f>
        <v/>
      </c>
      <c r="J8" s="15">
        <f>IF(Tableau!E24="","",Tableau!E24)</f>
        <v/>
      </c>
      <c r="K8" s="15">
        <f>IF(Tableau!C27="","",Tableau!C27)</f>
        <v/>
      </c>
      <c r="L8" s="15">
        <f>Tableau!O2</f>
        <v/>
      </c>
      <c r="M8" s="15" t="n"/>
    </row>
    <row r="9" ht="14" customHeight="1" s="19">
      <c r="A9" s="15" t="inlineStr">
        <is>
          <t>Gruppe 2</t>
        </is>
      </c>
      <c r="B9" s="15" t="n">
        <v>8</v>
      </c>
      <c r="C9" s="15" t="n">
        <v>1</v>
      </c>
      <c r="D9" s="15">
        <f>IF(Teilnehmer!C3="","",Teilnehmer!C3)</f>
        <v/>
      </c>
      <c r="E9" s="15">
        <f>IF(Teilnehmer!C7="","",Teilnehmer!C7)</f>
        <v/>
      </c>
      <c r="F9" s="15">
        <f>IF(Tableau!F22="","",Tableau!F22)</f>
        <v/>
      </c>
      <c r="G9" s="15">
        <f>IF(Tableau!B28="","",Tableau!B28)</f>
        <v/>
      </c>
      <c r="H9" s="15">
        <f>IF(Tableau!G22="","",Tableau!G22)</f>
        <v/>
      </c>
      <c r="I9" s="15">
        <f>IF(Tableau!C28="","",Tableau!C28)</f>
        <v/>
      </c>
      <c r="J9" s="15">
        <f>IF(Tableau!G24="","",Tableau!G24)</f>
        <v/>
      </c>
      <c r="K9" s="15">
        <f>IF(Tableau!C30="","",Tableau!C30)</f>
        <v/>
      </c>
      <c r="L9" s="15">
        <f>Tableau!O2</f>
        <v/>
      </c>
      <c r="M9" s="15" t="n"/>
    </row>
    <row r="10" ht="14" customHeight="1" s="19">
      <c r="A10" s="15" t="inlineStr">
        <is>
          <t>Gruppe 2</t>
        </is>
      </c>
      <c r="B10" s="15" t="n">
        <v>9</v>
      </c>
      <c r="C10" s="15" t="n">
        <v>1</v>
      </c>
      <c r="D10" s="15">
        <f>IF(Teilnehmer!C3="","",Teilnehmer!C3)</f>
        <v/>
      </c>
      <c r="E10" s="15">
        <f>IF(Teilnehmer!C8="","",Teilnehmer!C8)</f>
        <v/>
      </c>
      <c r="F10" s="15">
        <f>IF(Tableau!H22="","",Tableau!H22)</f>
        <v/>
      </c>
      <c r="G10" s="15">
        <f>IF(Tableau!B31="","",Tableau!B31)</f>
        <v/>
      </c>
      <c r="H10" s="15">
        <f>IF(Tableau!I22="","",Tableau!I22)</f>
        <v/>
      </c>
      <c r="I10" s="15">
        <f>IF(Tableau!C31="","",Tableau!C31)</f>
        <v/>
      </c>
      <c r="J10" s="15">
        <f>IF(Tableau!I24="","",Tableau!I24)</f>
        <v/>
      </c>
      <c r="K10" s="15">
        <f>IF(Tableau!C33="","",Tableau!C33)</f>
        <v/>
      </c>
      <c r="L10" s="15">
        <f>Tableau!O2</f>
        <v/>
      </c>
      <c r="M10" s="15" t="n"/>
    </row>
    <row r="11" ht="14" customHeight="1" s="19">
      <c r="A11" s="15" t="inlineStr">
        <is>
          <t>Gruppe 2</t>
        </is>
      </c>
      <c r="B11" s="15" t="n">
        <v>10</v>
      </c>
      <c r="C11" s="15" t="n">
        <v>1</v>
      </c>
      <c r="D11" s="15">
        <f>IF(Teilnehmer!C4="","",Teilnehmer!C4)</f>
        <v/>
      </c>
      <c r="E11" s="15">
        <f>IF(Teilnehmer!C7="","",Teilnehmer!C7)</f>
        <v/>
      </c>
      <c r="F11" s="15">
        <f>IF(Tableau!F25="","",Tableau!F25)</f>
        <v/>
      </c>
      <c r="G11" s="15">
        <f>IF(Tableau!D28="","",Tableau!D28)</f>
        <v/>
      </c>
      <c r="H11" s="15">
        <f>IF(Tableau!G25="","",Tableau!G25)</f>
        <v/>
      </c>
      <c r="I11" s="15">
        <f>IF(Tableau!E28="","",Tableau!E28)</f>
        <v/>
      </c>
      <c r="J11" s="15">
        <f>IF(Tableau!G27="","",Tableau!G27)</f>
        <v/>
      </c>
      <c r="K11" s="15">
        <f>IF(Tableau!E30="","",Tableau!E30)</f>
        <v/>
      </c>
      <c r="L11" s="15">
        <f>Tableau!O2</f>
        <v/>
      </c>
      <c r="M11" s="15" t="n"/>
    </row>
    <row r="12" ht="14" customHeight="1" s="19">
      <c r="A12" s="15" t="inlineStr">
        <is>
          <t>Gruppe 2</t>
        </is>
      </c>
      <c r="B12" s="15" t="n">
        <v>11</v>
      </c>
      <c r="C12" s="15" t="n">
        <v>1</v>
      </c>
      <c r="D12" s="15">
        <f>IF(Teilnehmer!C4="","",Teilnehmer!C4)</f>
        <v/>
      </c>
      <c r="E12" s="15">
        <f>IF(Teilnehmer!C8="","",Teilnehmer!C8)</f>
        <v/>
      </c>
      <c r="F12" s="15">
        <f>IF(Tableau!H25="","",Tableau!H25)</f>
        <v/>
      </c>
      <c r="G12" s="15">
        <f>IF(Tableau!D31="","",Tableau!D31)</f>
        <v/>
      </c>
      <c r="H12" s="15">
        <f>IF(Tableau!I25="","",Tableau!I25)</f>
        <v/>
      </c>
      <c r="I12" s="15">
        <f>IF(Tableau!E31="","",Tableau!E31)</f>
        <v/>
      </c>
      <c r="J12" s="15">
        <f>IF(Tableau!I27="","",Tableau!I27)</f>
        <v/>
      </c>
      <c r="K12" s="15">
        <f>IF(Tableau!E33="","",Tableau!E33)</f>
        <v/>
      </c>
      <c r="L12" s="15">
        <f>Tableau!O2</f>
        <v/>
      </c>
      <c r="M12" s="15" t="n"/>
    </row>
    <row r="13" ht="14" customHeight="1" s="19">
      <c r="A13" s="15" t="inlineStr">
        <is>
          <t>Gruppe 2</t>
        </is>
      </c>
      <c r="B13" s="15" t="n">
        <v>12</v>
      </c>
      <c r="C13" s="15" t="n">
        <v>1</v>
      </c>
      <c r="D13" s="15">
        <f>IF(Teilnehmer!C7="","",Teilnehmer!C7)</f>
        <v/>
      </c>
      <c r="E13" s="15">
        <f>IF(Teilnehmer!C8="","",Teilnehmer!C8)</f>
        <v/>
      </c>
      <c r="F13" s="15">
        <f>IF(Tableau!H28="","",Tableau!H28)</f>
        <v/>
      </c>
      <c r="G13" s="15">
        <f>IF(Tableau!F31="","",Tableau!F31)</f>
        <v/>
      </c>
      <c r="H13" s="15">
        <f>IF(Tableau!I28="","",Tableau!I28)</f>
        <v/>
      </c>
      <c r="I13" s="15">
        <f>IF(Tableau!G31="","",Tableau!G31)</f>
        <v/>
      </c>
      <c r="J13" s="15">
        <f>IF(Tableau!I30="","",Tableau!I30)</f>
        <v/>
      </c>
      <c r="K13" s="15">
        <f>IF(Tableau!G33="","",Tableau!G33)</f>
        <v/>
      </c>
      <c r="L13" s="15">
        <f>Tableau!O2</f>
        <v/>
      </c>
      <c r="M13" s="15" t="n"/>
    </row>
    <row r="14" ht="14" customHeight="1" s="19">
      <c r="A14" s="15" t="inlineStr">
        <is>
          <t>Halbfinale 1</t>
        </is>
      </c>
      <c r="B14" s="15" t="n">
        <v>13</v>
      </c>
      <c r="C14" s="15" t="n">
        <v>1</v>
      </c>
      <c r="D14" s="15">
        <f>IF(Finalrunde!A6="","",IFERROR(INDEX(Teilnehmer!$C$2:$C$9,MATCH(Finalrunde!A6,Teilnehmer!$B$2:$B$9,0)),""))</f>
        <v/>
      </c>
      <c r="E14" s="15">
        <f>IF(Finalrunde!A9="","",IFERROR(INDEX(Teilnehmer!$C$2:$C$9,MATCH(Finalrunde!A9,Teilnehmer!$B$2:$B$9,0)),""))</f>
        <v/>
      </c>
      <c r="F14" s="15">
        <f>IF(Finalrunde!D6="","",Finalrunde!D6)</f>
        <v/>
      </c>
      <c r="G14" s="15">
        <f>IF(Finalrunde!B9="","",Finalrunde!B9)</f>
        <v/>
      </c>
      <c r="H14" s="15">
        <f>IF(Finalrunde!E6="","",Finalrunde!E6)</f>
        <v/>
      </c>
      <c r="I14" s="15">
        <f>IF(Finalrunde!C9="","",Finalrunde!C9)</f>
        <v/>
      </c>
      <c r="J14" s="15">
        <f>IF(Finalrunde!E8="","",Finalrunde!E8)</f>
        <v/>
      </c>
      <c r="K14" s="15">
        <f>IF(Finalrunde!C11="","",Finalrunde!C11)</f>
        <v/>
      </c>
      <c r="L14" s="15">
        <f>Tableau!O2</f>
        <v/>
      </c>
      <c r="M14" s="15" t="n"/>
    </row>
    <row r="15" ht="14" customHeight="1" s="19">
      <c r="A15" s="15" t="inlineStr">
        <is>
          <t>Halbfinale 2</t>
        </is>
      </c>
      <c r="B15" s="15" t="n">
        <v>14</v>
      </c>
      <c r="C15" s="15" t="n">
        <v>1</v>
      </c>
      <c r="D15" s="15">
        <f>IF(Finalrunde!A12="","",IFERROR(INDEX(Teilnehmer!$C$2:$C$9,MATCH(Finalrunde!A12,Teilnehmer!$B$2:$B$9,0)),""))</f>
        <v/>
      </c>
      <c r="E15" s="15">
        <f>IF(Finalrunde!A15="","",IFERROR(INDEX(Teilnehmer!$C$2:$C$9,MATCH(Finalrunde!A15,Teilnehmer!$B$2:$B$9,0)),""))</f>
        <v/>
      </c>
      <c r="F15" s="15">
        <f>IF(Finalrunde!H12="","",Finalrunde!H12)</f>
        <v/>
      </c>
      <c r="G15" s="15">
        <f>IF(Finalrunde!F15="","",Finalrunde!F15)</f>
        <v/>
      </c>
      <c r="H15" s="15">
        <f>IF(Finalrunde!I12="","",Finalrunde!I12)</f>
        <v/>
      </c>
      <c r="I15" s="15">
        <f>IF(Finalrunde!G15="","",Finalrunde!G15)</f>
        <v/>
      </c>
      <c r="J15" s="15">
        <f>IF(Finalrunde!I14="","",Finalrunde!I14)</f>
        <v/>
      </c>
      <c r="K15" s="15">
        <f>IF(Finalrunde!G17="","",Finalrunde!G17)</f>
        <v/>
      </c>
      <c r="L15" s="15">
        <f>Tableau!O2</f>
        <v/>
      </c>
      <c r="M15" s="15" t="n"/>
    </row>
    <row r="16" ht="14" customHeight="1" s="19">
      <c r="A16" s="15" t="inlineStr">
        <is>
          <t>Platz 5-6</t>
        </is>
      </c>
      <c r="B16" s="15" t="n">
        <v>15</v>
      </c>
      <c r="C16" s="15" t="n">
        <v>1</v>
      </c>
      <c r="D16" s="15">
        <f>IF(Finalrunde!A21="","",IFERROR(INDEX(Teilnehmer!$C$2:$C$9,MATCH(Finalrunde!A21,Teilnehmer!$B$2:$B$9,0)),""))</f>
        <v/>
      </c>
      <c r="E16" s="15">
        <f>IF(Finalrunde!A24="","",IFERROR(INDEX(Teilnehmer!$C$2:$C$9,MATCH(Finalrunde!A24,Teilnehmer!$B$2:$B$9,0)),""))</f>
        <v/>
      </c>
      <c r="F16" s="15">
        <f>IF(Finalrunde!D21="","",Finalrunde!D21)</f>
        <v/>
      </c>
      <c r="G16" s="15">
        <f>IF(Finalrunde!B24="","",Finalrunde!B24)</f>
        <v/>
      </c>
      <c r="H16" s="15">
        <f>IF(Finalrunde!E21="","",Finalrunde!E21)</f>
        <v/>
      </c>
      <c r="I16" s="15">
        <f>IF(Finalrunde!C24="","",Finalrunde!C24)</f>
        <v/>
      </c>
      <c r="J16" s="15">
        <f>IF(Finalrunde!E23="","",Finalrunde!E23)</f>
        <v/>
      </c>
      <c r="K16" s="15">
        <f>IF(Finalrunde!C26="","",Finalrunde!C26)</f>
        <v/>
      </c>
      <c r="L16" s="15">
        <f>Tableau!O2</f>
        <v/>
      </c>
      <c r="M16" s="15" t="n"/>
    </row>
    <row r="17" ht="14" customHeight="1" s="19">
      <c r="A17" s="15" t="inlineStr">
        <is>
          <t>Platz 7-8</t>
        </is>
      </c>
      <c r="B17" s="15" t="n">
        <v>16</v>
      </c>
      <c r="C17" s="15" t="n">
        <v>1</v>
      </c>
      <c r="D17" s="15">
        <f>IF(Finalrunde!A27="","",IFERROR(INDEX(Teilnehmer!$C$2:$C$9,MATCH(Finalrunde!A27,Teilnehmer!$B$2:$B$9,0)),""))</f>
        <v/>
      </c>
      <c r="E17" s="15">
        <f>IF(Finalrunde!A30="","",IFERROR(INDEX(Teilnehmer!$C$2:$C$9,MATCH(Finalrunde!A30,Teilnehmer!$B$2:$B$9,0)),""))</f>
        <v/>
      </c>
      <c r="F17" s="15">
        <f>IF(Finalrunde!H27="","",Finalrunde!H27)</f>
        <v/>
      </c>
      <c r="G17" s="15">
        <f>IF(Finalrunde!F30="","",Finalrunde!F30)</f>
        <v/>
      </c>
      <c r="H17" s="15">
        <f>IF(Finalrunde!I27="","",Finalrunde!I27)</f>
        <v/>
      </c>
      <c r="I17" s="15">
        <f>IF(Finalrunde!G30="","",Finalrunde!G30)</f>
        <v/>
      </c>
      <c r="J17" s="15">
        <f>IF(Finalrunde!I29="","",Finalrunde!I29)</f>
        <v/>
      </c>
      <c r="K17" s="15">
        <f>IF(Finalrunde!G32="","",Finalrunde!G32)</f>
        <v/>
      </c>
      <c r="L17" s="15">
        <f>Tableau!O2</f>
        <v/>
      </c>
      <c r="M17" s="15" t="n"/>
    </row>
    <row r="18" ht="14" customHeight="1" s="19">
      <c r="A18" s="15" t="inlineStr">
        <is>
          <t>Finale</t>
        </is>
      </c>
      <c r="B18" s="15" t="n">
        <v>17</v>
      </c>
      <c r="C18" s="15" t="n">
        <v>1</v>
      </c>
      <c r="D18" s="15">
        <f>IF(Finalrunde!A36="","",IFERROR(INDEX(Teilnehmer!$C$2:$C$9,MATCH(Finalrunde!A36,Teilnehmer!$B$2:$B$9,0)),""))</f>
        <v/>
      </c>
      <c r="E18" s="15">
        <f>IF(Finalrunde!A39="","",IFERROR(INDEX(Teilnehmer!$C$2:$C$9,MATCH(Finalrunde!A39,Teilnehmer!$B$2:$B$9,0)),""))</f>
        <v/>
      </c>
      <c r="F18" s="15">
        <f>IF(Finalrunde!D36="","",Finalrunde!D36)</f>
        <v/>
      </c>
      <c r="G18" s="15">
        <f>IF(Finalrunde!B39="","",Finalrunde!B39)</f>
        <v/>
      </c>
      <c r="H18" s="15">
        <f>IF(Finalrunde!E36="","",Finalrunde!E36)</f>
        <v/>
      </c>
      <c r="I18" s="15">
        <f>IF(Finalrunde!C39="","",Finalrunde!C39)</f>
        <v/>
      </c>
      <c r="J18" s="15">
        <f>IF(Finalrunde!E38="","",Finalrunde!E38)</f>
        <v/>
      </c>
      <c r="K18" s="15">
        <f>IF(Finalrunde!C41="","",Finalrunde!C41)</f>
        <v/>
      </c>
      <c r="L18" s="15">
        <f>Tableau!O2</f>
        <v/>
      </c>
      <c r="M18" s="15" t="n"/>
    </row>
    <row r="19" ht="14" customHeight="1" s="19">
      <c r="A19" s="15" t="inlineStr">
        <is>
          <t>Platz 3-4</t>
        </is>
      </c>
      <c r="B19" s="15" t="n">
        <v>18</v>
      </c>
      <c r="C19" s="15" t="n">
        <v>1</v>
      </c>
      <c r="D19" s="15">
        <f>IF(Finalrunde!A42="","",IFERROR(INDEX(Teilnehmer!$C$2:$C$9,MATCH(Finalrunde!A42,Teilnehmer!$B$2:$B$9,0)),""))</f>
        <v/>
      </c>
      <c r="E19" s="15">
        <f>IF(Finalrunde!A45="","",IFERROR(INDEX(Teilnehmer!$C$2:$C$9,MATCH(Finalrunde!A45,Teilnehmer!$B$2:$B$9,0)),""))</f>
        <v/>
      </c>
      <c r="F19" s="15">
        <f>IF(Finalrunde!H42="","",Finalrunde!H42)</f>
        <v/>
      </c>
      <c r="G19" s="15">
        <f>IF(Finalrunde!F45="","",Finalrunde!F45)</f>
        <v/>
      </c>
      <c r="H19" s="15">
        <f>IF(Finalrunde!I42="","",Finalrunde!I42)</f>
        <v/>
      </c>
      <c r="I19" s="15">
        <f>IF(Finalrunde!G45="","",Finalrunde!G45)</f>
        <v/>
      </c>
      <c r="J19" s="15">
        <f>IF(Finalrunde!I44="","",Finalrunde!I44)</f>
        <v/>
      </c>
      <c r="K19" s="15">
        <f>IF(Finalrunde!G47="","",Finalrunde!G47)</f>
        <v/>
      </c>
      <c r="L19" s="15">
        <f>Tableau!O2</f>
        <v/>
      </c>
      <c r="M19" s="15" t="n"/>
    </row>
    <row r="21">
      <c r="A21" s="27" t="inlineStr">
        <is>
          <t>Hinweis: Dieses Blatt als CSV speichern. Falls ClubCloud den Import ablehnt, CSV ohne UTF-8-BOM speichern.</t>
        </is>
      </c>
      <c r="B21" s="28" t="n"/>
      <c r="C21" s="28" t="n"/>
      <c r="D21" s="28" t="n"/>
      <c r="E21" s="28" t="n"/>
      <c r="F21" s="28" t="n"/>
      <c r="G21" s="28" t="n"/>
      <c r="H21" s="28" t="n"/>
      <c r="I21" s="28" t="n"/>
      <c r="J21" s="28" t="n"/>
      <c r="K21" s="28" t="n"/>
      <c r="L21" s="28" t="n"/>
      <c r="M21" s="29" t="n"/>
    </row>
  </sheetData>
  <mergeCells count="1">
    <mergeCell ref="A21:M21"/>
  </mergeCells>
  <pageMargins left="0.75" right="0.75" top="1" bottom="1" header="0.5" footer="0.5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7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style="19" min="1" max="1"/>
    <col width="11" customWidth="1" style="19" min="2" max="2"/>
    <col width="11" customWidth="1" style="19" min="3" max="3"/>
    <col width="11" customWidth="1" style="19" min="4" max="4"/>
    <col width="11" customWidth="1" style="19" min="5" max="5"/>
    <col width="11" customWidth="1" style="19" min="6" max="6"/>
    <col width="11" customWidth="1" style="19" min="7" max="7"/>
    <col width="11" customWidth="1" style="19" min="8" max="8"/>
    <col width="11" customWidth="1" style="19" min="9" max="9"/>
  </cols>
  <sheetData>
    <row r="1" ht="30" customHeight="1" s="19">
      <c r="A1" s="82" t="inlineStr">
        <is>
          <t>Final- und Platzierungsspiele</t>
        </is>
      </c>
      <c r="B1" s="71" t="n"/>
      <c r="C1" s="71" t="n"/>
      <c r="D1" s="71" t="n"/>
      <c r="E1" s="71" t="n"/>
      <c r="F1" s="71" t="n"/>
      <c r="G1" s="71" t="n"/>
      <c r="H1" s="71" t="n"/>
      <c r="I1" s="71" t="n"/>
    </row>
    <row r="2" ht="22" customHeight="1" s="19">
      <c r="A2" s="83" t="inlineStr">
        <is>
          <t>Die Spieler werden aus den Gruppenplatzierungen ermittelt. Namen aktualisieren sich nach Eingabe der Gruppenergebnisse.</t>
        </is>
      </c>
      <c r="B2" s="72" t="n"/>
      <c r="C2" s="72" t="n"/>
      <c r="D2" s="72" t="n"/>
      <c r="E2" s="72" t="n"/>
      <c r="F2" s="72" t="n"/>
      <c r="G2" s="72" t="n"/>
      <c r="H2" s="72" t="n"/>
      <c r="I2" s="72" t="n"/>
    </row>
    <row r="4" ht="26" customHeight="1" s="19">
      <c r="A4" s="84" t="inlineStr">
        <is>
          <t>Halbfinale</t>
        </is>
      </c>
      <c r="B4" s="73" t="n"/>
      <c r="C4" s="73" t="n"/>
      <c r="D4" s="73" t="n"/>
      <c r="E4" s="73" t="n"/>
      <c r="F4" s="73" t="n"/>
      <c r="G4" s="73" t="n"/>
      <c r="H4" s="73" t="n"/>
      <c r="I4" s="73" t="n"/>
    </row>
    <row r="5" ht="24" customHeight="1" s="19">
      <c r="A5" s="57" t="inlineStr">
        <is>
          <t>Spieler</t>
        </is>
      </c>
      <c r="B5" s="57" t="inlineStr">
        <is>
          <t>1. Gruppe 1</t>
        </is>
      </c>
      <c r="C5" s="74" t="n"/>
      <c r="D5" s="57" t="inlineStr">
        <is>
          <t>2. Gruppe 2</t>
        </is>
      </c>
      <c r="E5" s="74" t="n"/>
      <c r="F5" s="57" t="inlineStr">
        <is>
          <t>1. Gruppe 2</t>
        </is>
      </c>
      <c r="G5" s="74" t="n"/>
      <c r="H5" s="57" t="inlineStr">
        <is>
          <t>2. Gruppe 1</t>
        </is>
      </c>
      <c r="I5" s="74" t="n"/>
    </row>
    <row r="6" ht="22" customHeight="1" s="19">
      <c r="A6" s="70">
        <f>IFERROR(INDEX('Tableau'!$A$6:$A$15,MATCH(1,'Tableau'!$O$6:$O$15,0)),"")</f>
        <v/>
      </c>
      <c r="B6" s="60" t="inlineStr">
        <is>
          <t>Bälle</t>
        </is>
      </c>
      <c r="C6" s="60" t="inlineStr">
        <is>
          <t>Aufn.</t>
        </is>
      </c>
      <c r="D6" s="65" t="n"/>
      <c r="E6" s="65" t="n"/>
      <c r="F6" s="66" t="n"/>
      <c r="G6" s="75" t="n"/>
      <c r="H6" s="66" t="n"/>
      <c r="I6" s="75" t="n"/>
    </row>
    <row r="7" ht="22" customHeight="1" s="19">
      <c r="A7" s="76" t="n"/>
      <c r="B7" s="60" t="inlineStr">
        <is>
          <t>Partiepunkte</t>
        </is>
      </c>
      <c r="C7" s="74" t="n"/>
      <c r="D7" s="65">
        <f>IF(OR(D6="",B9=""),"",IF(D6&gt;B9,2,IF(D6&lt;B9,0,1)))</f>
        <v/>
      </c>
      <c r="E7" s="74" t="n"/>
      <c r="F7" s="77" t="n"/>
      <c r="G7" s="78" t="n"/>
      <c r="H7" s="77" t="n"/>
      <c r="I7" s="78" t="n"/>
    </row>
    <row r="8" ht="22" customHeight="1" s="19">
      <c r="A8" s="79" t="n"/>
      <c r="B8" s="60" t="inlineStr">
        <is>
          <t>DS</t>
        </is>
      </c>
      <c r="C8" s="60" t="inlineStr">
        <is>
          <t>HS</t>
        </is>
      </c>
      <c r="D8" s="65">
        <f>IF(E6&gt;0,TRUNC(D6/E6,3),"")</f>
        <v/>
      </c>
      <c r="E8" s="65" t="n"/>
      <c r="F8" s="80" t="n"/>
      <c r="G8" s="81" t="n"/>
      <c r="H8" s="80" t="n"/>
      <c r="I8" s="81" t="n"/>
    </row>
    <row r="9" ht="22" customHeight="1" s="19">
      <c r="A9" s="70">
        <f>IFERROR(INDEX('Tableau'!$A$22:$A$31,MATCH(2,'Tableau'!$O$22:$O$31,0)),"")</f>
        <v/>
      </c>
      <c r="B9" s="65" t="n"/>
      <c r="C9" s="65" t="n"/>
      <c r="D9" s="60" t="inlineStr">
        <is>
          <t>Bälle</t>
        </is>
      </c>
      <c r="E9" s="60" t="inlineStr">
        <is>
          <t>Aufn.</t>
        </is>
      </c>
      <c r="F9" s="66" t="n"/>
      <c r="G9" s="75" t="n"/>
      <c r="H9" s="66" t="n"/>
      <c r="I9" s="75" t="n"/>
    </row>
    <row r="10" ht="22" customHeight="1" s="19">
      <c r="A10" s="76" t="n"/>
      <c r="B10" s="65">
        <f>IF(OR(B9="",D6=""),"",IF(B9&gt;D6,2,IF(B9&lt;D6,0,1)))</f>
        <v/>
      </c>
      <c r="C10" s="74" t="n"/>
      <c r="D10" s="60" t="inlineStr">
        <is>
          <t>Partiepunkte</t>
        </is>
      </c>
      <c r="E10" s="74" t="n"/>
      <c r="F10" s="77" t="n"/>
      <c r="G10" s="78" t="n"/>
      <c r="H10" s="77" t="n"/>
      <c r="I10" s="78" t="n"/>
    </row>
    <row r="11" ht="22" customHeight="1" s="19">
      <c r="A11" s="79" t="n"/>
      <c r="B11" s="65">
        <f>IF(C9&gt;0,TRUNC(B9/C9,3),"")</f>
        <v/>
      </c>
      <c r="C11" s="65" t="n"/>
      <c r="D11" s="60" t="inlineStr">
        <is>
          <t>DS</t>
        </is>
      </c>
      <c r="E11" s="60" t="inlineStr">
        <is>
          <t>HS</t>
        </is>
      </c>
      <c r="F11" s="80" t="n"/>
      <c r="G11" s="81" t="n"/>
      <c r="H11" s="80" t="n"/>
      <c r="I11" s="81" t="n"/>
    </row>
    <row r="12" ht="22" customHeight="1" s="19">
      <c r="A12" s="70">
        <f>IFERROR(INDEX('Tableau'!$A$22:$A$31,MATCH(1,'Tableau'!$O$22:$O$31,0)),"")</f>
        <v/>
      </c>
      <c r="B12" s="66" t="n"/>
      <c r="C12" s="75" t="n"/>
      <c r="D12" s="66" t="n"/>
      <c r="E12" s="75" t="n"/>
      <c r="F12" s="60" t="inlineStr">
        <is>
          <t>Bälle</t>
        </is>
      </c>
      <c r="G12" s="60" t="inlineStr">
        <is>
          <t>Aufn.</t>
        </is>
      </c>
      <c r="H12" s="65" t="n"/>
      <c r="I12" s="65" t="n"/>
    </row>
    <row r="13" ht="22" customHeight="1" s="19">
      <c r="A13" s="76" t="n"/>
      <c r="B13" s="77" t="n"/>
      <c r="C13" s="78" t="n"/>
      <c r="D13" s="77" t="n"/>
      <c r="E13" s="78" t="n"/>
      <c r="F13" s="60" t="inlineStr">
        <is>
          <t>Partiepunkte</t>
        </is>
      </c>
      <c r="G13" s="74" t="n"/>
      <c r="H13" s="65">
        <f>IF(OR(H12="",F15=""),"",IF(H12&gt;F15,2,IF(H12&lt;F15,0,1)))</f>
        <v/>
      </c>
      <c r="I13" s="74" t="n"/>
    </row>
    <row r="14" ht="22" customHeight="1" s="19">
      <c r="A14" s="79" t="n"/>
      <c r="B14" s="80" t="n"/>
      <c r="C14" s="81" t="n"/>
      <c r="D14" s="80" t="n"/>
      <c r="E14" s="81" t="n"/>
      <c r="F14" s="60" t="inlineStr">
        <is>
          <t>DS</t>
        </is>
      </c>
      <c r="G14" s="60" t="inlineStr">
        <is>
          <t>HS</t>
        </is>
      </c>
      <c r="H14" s="65">
        <f>IF(I12&gt;0,TRUNC(H12/I12,3),"")</f>
        <v/>
      </c>
      <c r="I14" s="65" t="n"/>
    </row>
    <row r="15" ht="22" customHeight="1" s="19">
      <c r="A15" s="70">
        <f>IFERROR(INDEX('Tableau'!$A$6:$A$15,MATCH(2,'Tableau'!$O$6:$O$15,0)),"")</f>
        <v/>
      </c>
      <c r="B15" s="66" t="n"/>
      <c r="C15" s="75" t="n"/>
      <c r="D15" s="66" t="n"/>
      <c r="E15" s="75" t="n"/>
      <c r="F15" s="65" t="n"/>
      <c r="G15" s="65" t="n"/>
      <c r="H15" s="60" t="inlineStr">
        <is>
          <t>Bälle</t>
        </is>
      </c>
      <c r="I15" s="60" t="inlineStr">
        <is>
          <t>Aufn.</t>
        </is>
      </c>
    </row>
    <row r="16" ht="22" customHeight="1" s="19">
      <c r="A16" s="76" t="n"/>
      <c r="B16" s="77" t="n"/>
      <c r="C16" s="78" t="n"/>
      <c r="D16" s="77" t="n"/>
      <c r="E16" s="78" t="n"/>
      <c r="F16" s="65">
        <f>IF(OR(F15="",H12=""),"",IF(F15&gt;H12,2,IF(F15&lt;H12,0,1)))</f>
        <v/>
      </c>
      <c r="G16" s="74" t="n"/>
      <c r="H16" s="60" t="inlineStr">
        <is>
          <t>Partiepunkte</t>
        </is>
      </c>
      <c r="I16" s="74" t="n"/>
    </row>
    <row r="17" ht="22" customHeight="1" s="19">
      <c r="A17" s="79" t="n"/>
      <c r="B17" s="80" t="n"/>
      <c r="C17" s="81" t="n"/>
      <c r="D17" s="80" t="n"/>
      <c r="E17" s="81" t="n"/>
      <c r="F17" s="65">
        <f>IF(G15&gt;0,TRUNC(F15/G15,3),"")</f>
        <v/>
      </c>
      <c r="G17" s="65" t="n"/>
      <c r="H17" s="60" t="inlineStr">
        <is>
          <t>DS</t>
        </is>
      </c>
      <c r="I17" s="60" t="inlineStr">
        <is>
          <t>HS</t>
        </is>
      </c>
    </row>
    <row r="19" ht="26" customHeight="1" s="19">
      <c r="A19" s="84" t="inlineStr">
        <is>
          <t>Platzierung 5-8</t>
        </is>
      </c>
      <c r="B19" s="73" t="n"/>
      <c r="C19" s="73" t="n"/>
      <c r="D19" s="73" t="n"/>
      <c r="E19" s="73" t="n"/>
      <c r="F19" s="73" t="n"/>
      <c r="G19" s="73" t="n"/>
      <c r="H19" s="73" t="n"/>
      <c r="I19" s="73" t="n"/>
    </row>
    <row r="20" ht="24" customHeight="1" s="19">
      <c r="A20" s="57" t="inlineStr">
        <is>
          <t>Spieler</t>
        </is>
      </c>
      <c r="B20" s="57" t="inlineStr">
        <is>
          <t>3. Gruppe 1</t>
        </is>
      </c>
      <c r="C20" s="74" t="n"/>
      <c r="D20" s="57" t="inlineStr">
        <is>
          <t>3. Gruppe 2</t>
        </is>
      </c>
      <c r="E20" s="74" t="n"/>
      <c r="F20" s="57" t="inlineStr">
        <is>
          <t>4. Gruppe 1</t>
        </is>
      </c>
      <c r="G20" s="74" t="n"/>
      <c r="H20" s="57" t="inlineStr">
        <is>
          <t>4. Gruppe 2</t>
        </is>
      </c>
      <c r="I20" s="74" t="n"/>
    </row>
    <row r="21" ht="22" customHeight="1" s="19">
      <c r="A21" s="70">
        <f>IFERROR(INDEX('Tableau'!$A$6:$A$15,MATCH(3,'Tableau'!$O$6:$O$15,0)),"")</f>
        <v/>
      </c>
      <c r="B21" s="60" t="inlineStr">
        <is>
          <t>Bälle</t>
        </is>
      </c>
      <c r="C21" s="60" t="inlineStr">
        <is>
          <t>Aufn.</t>
        </is>
      </c>
      <c r="D21" s="65" t="n"/>
      <c r="E21" s="65" t="n"/>
      <c r="F21" s="66" t="n"/>
      <c r="G21" s="75" t="n"/>
      <c r="H21" s="66" t="n"/>
      <c r="I21" s="75" t="n"/>
    </row>
    <row r="22" ht="22" customHeight="1" s="19">
      <c r="A22" s="76" t="n"/>
      <c r="B22" s="60" t="inlineStr">
        <is>
          <t>Partiepunkte</t>
        </is>
      </c>
      <c r="C22" s="74" t="n"/>
      <c r="D22" s="65">
        <f>IF(OR(D21="",B24=""),"",IF(D21&gt;B24,2,IF(D21&lt;B24,0,1)))</f>
        <v/>
      </c>
      <c r="E22" s="74" t="n"/>
      <c r="F22" s="77" t="n"/>
      <c r="G22" s="78" t="n"/>
      <c r="H22" s="77" t="n"/>
      <c r="I22" s="78" t="n"/>
    </row>
    <row r="23" ht="22" customHeight="1" s="19">
      <c r="A23" s="79" t="n"/>
      <c r="B23" s="60" t="inlineStr">
        <is>
          <t>DS</t>
        </is>
      </c>
      <c r="C23" s="60" t="inlineStr">
        <is>
          <t>HS</t>
        </is>
      </c>
      <c r="D23" s="65">
        <f>IF(E21&gt;0,TRUNC(D21/E21,3),"")</f>
        <v/>
      </c>
      <c r="E23" s="65" t="n"/>
      <c r="F23" s="80" t="n"/>
      <c r="G23" s="81" t="n"/>
      <c r="H23" s="80" t="n"/>
      <c r="I23" s="81" t="n"/>
    </row>
    <row r="24" ht="22" customHeight="1" s="19">
      <c r="A24" s="70">
        <f>IFERROR(INDEX('Tableau'!$A$22:$A$31,MATCH(3,'Tableau'!$O$22:$O$31,0)),"")</f>
        <v/>
      </c>
      <c r="B24" s="65" t="n"/>
      <c r="C24" s="65" t="n"/>
      <c r="D24" s="60" t="inlineStr">
        <is>
          <t>Bälle</t>
        </is>
      </c>
      <c r="E24" s="60" t="inlineStr">
        <is>
          <t>Aufn.</t>
        </is>
      </c>
      <c r="F24" s="66" t="n"/>
      <c r="G24" s="75" t="n"/>
      <c r="H24" s="66" t="n"/>
      <c r="I24" s="75" t="n"/>
    </row>
    <row r="25" ht="22" customHeight="1" s="19">
      <c r="A25" s="76" t="n"/>
      <c r="B25" s="65">
        <f>IF(OR(B24="",D21=""),"",IF(B24&gt;D21,2,IF(B24&lt;D21,0,1)))</f>
        <v/>
      </c>
      <c r="C25" s="74" t="n"/>
      <c r="D25" s="60" t="inlineStr">
        <is>
          <t>Partiepunkte</t>
        </is>
      </c>
      <c r="E25" s="74" t="n"/>
      <c r="F25" s="77" t="n"/>
      <c r="G25" s="78" t="n"/>
      <c r="H25" s="77" t="n"/>
      <c r="I25" s="78" t="n"/>
    </row>
    <row r="26" ht="22" customHeight="1" s="19">
      <c r="A26" s="79" t="n"/>
      <c r="B26" s="65">
        <f>IF(C24&gt;0,TRUNC(B24/C24,3),"")</f>
        <v/>
      </c>
      <c r="C26" s="65" t="n"/>
      <c r="D26" s="60" t="inlineStr">
        <is>
          <t>DS</t>
        </is>
      </c>
      <c r="E26" s="60" t="inlineStr">
        <is>
          <t>HS</t>
        </is>
      </c>
      <c r="F26" s="80" t="n"/>
      <c r="G26" s="81" t="n"/>
      <c r="H26" s="80" t="n"/>
      <c r="I26" s="81" t="n"/>
    </row>
    <row r="27" ht="22" customHeight="1" s="19">
      <c r="A27" s="70">
        <f>IFERROR(INDEX('Tableau'!$A$6:$A$15,MATCH(4,'Tableau'!$O$6:$O$15,0)),"")</f>
        <v/>
      </c>
      <c r="B27" s="66" t="n"/>
      <c r="C27" s="75" t="n"/>
      <c r="D27" s="66" t="n"/>
      <c r="E27" s="75" t="n"/>
      <c r="F27" s="60" t="inlineStr">
        <is>
          <t>Bälle</t>
        </is>
      </c>
      <c r="G27" s="60" t="inlineStr">
        <is>
          <t>Aufn.</t>
        </is>
      </c>
      <c r="H27" s="65" t="n"/>
      <c r="I27" s="65" t="n"/>
    </row>
    <row r="28" ht="22" customHeight="1" s="19">
      <c r="A28" s="76" t="n"/>
      <c r="B28" s="77" t="n"/>
      <c r="C28" s="78" t="n"/>
      <c r="D28" s="77" t="n"/>
      <c r="E28" s="78" t="n"/>
      <c r="F28" s="60" t="inlineStr">
        <is>
          <t>Partiepunkte</t>
        </is>
      </c>
      <c r="G28" s="74" t="n"/>
      <c r="H28" s="65">
        <f>IF(OR(H27="",F30=""),"",IF(H27&gt;F30,2,IF(H27&lt;F30,0,1)))</f>
        <v/>
      </c>
      <c r="I28" s="74" t="n"/>
    </row>
    <row r="29" ht="22" customHeight="1" s="19">
      <c r="A29" s="79" t="n"/>
      <c r="B29" s="80" t="n"/>
      <c r="C29" s="81" t="n"/>
      <c r="D29" s="80" t="n"/>
      <c r="E29" s="81" t="n"/>
      <c r="F29" s="60" t="inlineStr">
        <is>
          <t>DS</t>
        </is>
      </c>
      <c r="G29" s="60" t="inlineStr">
        <is>
          <t>HS</t>
        </is>
      </c>
      <c r="H29" s="65">
        <f>IF(I27&gt;0,TRUNC(H27/I27,3),"")</f>
        <v/>
      </c>
      <c r="I29" s="65" t="n"/>
    </row>
    <row r="30" ht="22" customHeight="1" s="19">
      <c r="A30" s="70">
        <f>IFERROR(INDEX('Tableau'!$A$22:$A$31,MATCH(4,'Tableau'!$O$22:$O$31,0)),"")</f>
        <v/>
      </c>
      <c r="B30" s="66" t="n"/>
      <c r="C30" s="75" t="n"/>
      <c r="D30" s="66" t="n"/>
      <c r="E30" s="75" t="n"/>
      <c r="F30" s="65" t="n"/>
      <c r="G30" s="65" t="n"/>
      <c r="H30" s="60" t="inlineStr">
        <is>
          <t>Bälle</t>
        </is>
      </c>
      <c r="I30" s="60" t="inlineStr">
        <is>
          <t>Aufn.</t>
        </is>
      </c>
    </row>
    <row r="31" ht="22" customHeight="1" s="19">
      <c r="A31" s="76" t="n"/>
      <c r="B31" s="77" t="n"/>
      <c r="C31" s="78" t="n"/>
      <c r="D31" s="77" t="n"/>
      <c r="E31" s="78" t="n"/>
      <c r="F31" s="65">
        <f>IF(OR(F30="",H27=""),"",IF(F30&gt;H27,2,IF(F30&lt;H27,0,1)))</f>
        <v/>
      </c>
      <c r="G31" s="74" t="n"/>
      <c r="H31" s="60" t="inlineStr">
        <is>
          <t>Partiepunkte</t>
        </is>
      </c>
      <c r="I31" s="74" t="n"/>
    </row>
    <row r="32" ht="22" customHeight="1" s="19">
      <c r="A32" s="79" t="n"/>
      <c r="B32" s="80" t="n"/>
      <c r="C32" s="81" t="n"/>
      <c r="D32" s="80" t="n"/>
      <c r="E32" s="81" t="n"/>
      <c r="F32" s="65">
        <f>IF(G30&gt;0,TRUNC(F30/G30,3),"")</f>
        <v/>
      </c>
      <c r="G32" s="65" t="n"/>
      <c r="H32" s="60" t="inlineStr">
        <is>
          <t>DS</t>
        </is>
      </c>
      <c r="I32" s="60" t="inlineStr">
        <is>
          <t>HS</t>
        </is>
      </c>
    </row>
    <row r="34" ht="26" customHeight="1" s="19">
      <c r="A34" s="84" t="inlineStr">
        <is>
          <t>Endspiele</t>
        </is>
      </c>
      <c r="B34" s="73" t="n"/>
      <c r="C34" s="73" t="n"/>
      <c r="D34" s="73" t="n"/>
      <c r="E34" s="73" t="n"/>
      <c r="F34" s="73" t="n"/>
      <c r="G34" s="73" t="n"/>
      <c r="H34" s="73" t="n"/>
      <c r="I34" s="73" t="n"/>
    </row>
    <row r="35" ht="24" customHeight="1" s="19">
      <c r="A35" s="57" t="inlineStr">
        <is>
          <t>Spieler</t>
        </is>
      </c>
      <c r="B35" s="57" t="inlineStr">
        <is>
          <t>Sieger HF1</t>
        </is>
      </c>
      <c r="C35" s="74" t="n"/>
      <c r="D35" s="57" t="inlineStr">
        <is>
          <t>Sieger HF2</t>
        </is>
      </c>
      <c r="E35" s="74" t="n"/>
      <c r="F35" s="57" t="inlineStr">
        <is>
          <t>Verlierer HF1</t>
        </is>
      </c>
      <c r="G35" s="74" t="n"/>
      <c r="H35" s="57" t="inlineStr">
        <is>
          <t>Verlierer HF2</t>
        </is>
      </c>
      <c r="I35" s="74" t="n"/>
    </row>
    <row r="36" ht="22" customHeight="1" s="19">
      <c r="A36" s="70">
        <f>IF(OR(D6="",B9=""),"",IF(D6&gt;B9,A6,IF(B9&gt;D6,A9,"Losentscheidung")))</f>
        <v/>
      </c>
      <c r="B36" s="60" t="inlineStr">
        <is>
          <t>Bälle</t>
        </is>
      </c>
      <c r="C36" s="60" t="inlineStr">
        <is>
          <t>Aufn.</t>
        </is>
      </c>
      <c r="D36" s="65" t="n"/>
      <c r="E36" s="65" t="n"/>
      <c r="F36" s="66" t="n"/>
      <c r="G36" s="75" t="n"/>
      <c r="H36" s="66" t="n"/>
      <c r="I36" s="75" t="n"/>
    </row>
    <row r="37" ht="22" customHeight="1" s="19">
      <c r="A37" s="76" t="n"/>
      <c r="B37" s="60" t="inlineStr">
        <is>
          <t>Partiepunkte</t>
        </is>
      </c>
      <c r="C37" s="74" t="n"/>
      <c r="D37" s="65">
        <f>IF(OR(D36="",B39=""),"",IF(D36&gt;B39,2,IF(D36&lt;B39,0,1)))</f>
        <v/>
      </c>
      <c r="E37" s="74" t="n"/>
      <c r="F37" s="77" t="n"/>
      <c r="G37" s="78" t="n"/>
      <c r="H37" s="77" t="n"/>
      <c r="I37" s="78" t="n"/>
    </row>
    <row r="38" ht="22" customHeight="1" s="19">
      <c r="A38" s="79" t="n"/>
      <c r="B38" s="60" t="inlineStr">
        <is>
          <t>DS</t>
        </is>
      </c>
      <c r="C38" s="60" t="inlineStr">
        <is>
          <t>HS</t>
        </is>
      </c>
      <c r="D38" s="65">
        <f>IF(E36&gt;0,TRUNC(D36/E36,3),"")</f>
        <v/>
      </c>
      <c r="E38" s="65" t="n"/>
      <c r="F38" s="80" t="n"/>
      <c r="G38" s="81" t="n"/>
      <c r="H38" s="80" t="n"/>
      <c r="I38" s="81" t="n"/>
    </row>
    <row r="39" ht="22" customHeight="1" s="19">
      <c r="A39" s="70">
        <f>IF(OR(H12="",F15=""),"",IF(H12&gt;F15,A12,IF(F15&gt;H12,A15,"Losentscheidung")))</f>
        <v/>
      </c>
      <c r="B39" s="65" t="n"/>
      <c r="C39" s="65" t="n"/>
      <c r="D39" s="60" t="inlineStr">
        <is>
          <t>Bälle</t>
        </is>
      </c>
      <c r="E39" s="60" t="inlineStr">
        <is>
          <t>Aufn.</t>
        </is>
      </c>
      <c r="F39" s="66" t="n"/>
      <c r="G39" s="75" t="n"/>
      <c r="H39" s="66" t="n"/>
      <c r="I39" s="75" t="n"/>
    </row>
    <row r="40" ht="22" customHeight="1" s="19">
      <c r="A40" s="76" t="n"/>
      <c r="B40" s="65">
        <f>IF(OR(B39="",D36=""),"",IF(B39&gt;D36,2,IF(B39&lt;D36,0,1)))</f>
        <v/>
      </c>
      <c r="C40" s="74" t="n"/>
      <c r="D40" s="60" t="inlineStr">
        <is>
          <t>Partiepunkte</t>
        </is>
      </c>
      <c r="E40" s="74" t="n"/>
      <c r="F40" s="77" t="n"/>
      <c r="G40" s="78" t="n"/>
      <c r="H40" s="77" t="n"/>
      <c r="I40" s="78" t="n"/>
    </row>
    <row r="41" ht="22" customHeight="1" s="19">
      <c r="A41" s="79" t="n"/>
      <c r="B41" s="65">
        <f>IF(C39&gt;0,TRUNC(B39/C39,3),"")</f>
        <v/>
      </c>
      <c r="C41" s="65" t="n"/>
      <c r="D41" s="60" t="inlineStr">
        <is>
          <t>DS</t>
        </is>
      </c>
      <c r="E41" s="60" t="inlineStr">
        <is>
          <t>HS</t>
        </is>
      </c>
      <c r="F41" s="80" t="n"/>
      <c r="G41" s="81" t="n"/>
      <c r="H41" s="80" t="n"/>
      <c r="I41" s="81" t="n"/>
    </row>
    <row r="42" ht="22" customHeight="1" s="19">
      <c r="A42" s="70">
        <f>IF(OR(D6="",B9=""),"",IF(D6&lt;B9,A6,IF(B9&lt;D6,A9,"Losentscheidung")))</f>
        <v/>
      </c>
      <c r="B42" s="66" t="n"/>
      <c r="C42" s="75" t="n"/>
      <c r="D42" s="66" t="n"/>
      <c r="E42" s="75" t="n"/>
      <c r="F42" s="60" t="inlineStr">
        <is>
          <t>Bälle</t>
        </is>
      </c>
      <c r="G42" s="60" t="inlineStr">
        <is>
          <t>Aufn.</t>
        </is>
      </c>
      <c r="H42" s="65" t="n"/>
      <c r="I42" s="65" t="n"/>
    </row>
    <row r="43" ht="22" customHeight="1" s="19">
      <c r="A43" s="76" t="n"/>
      <c r="B43" s="77" t="n"/>
      <c r="C43" s="78" t="n"/>
      <c r="D43" s="77" t="n"/>
      <c r="E43" s="78" t="n"/>
      <c r="F43" s="60" t="inlineStr">
        <is>
          <t>Partiepunkte</t>
        </is>
      </c>
      <c r="G43" s="74" t="n"/>
      <c r="H43" s="65">
        <f>IF(OR(H42="",F45=""),"",IF(H42&gt;F45,2,IF(H42&lt;F45,0,1)))</f>
        <v/>
      </c>
      <c r="I43" s="74" t="n"/>
    </row>
    <row r="44" ht="22" customHeight="1" s="19">
      <c r="A44" s="79" t="n"/>
      <c r="B44" s="80" t="n"/>
      <c r="C44" s="81" t="n"/>
      <c r="D44" s="80" t="n"/>
      <c r="E44" s="81" t="n"/>
      <c r="F44" s="60" t="inlineStr">
        <is>
          <t>DS</t>
        </is>
      </c>
      <c r="G44" s="60" t="inlineStr">
        <is>
          <t>HS</t>
        </is>
      </c>
      <c r="H44" s="65">
        <f>IF(I42&gt;0,TRUNC(H42/I42,3),"")</f>
        <v/>
      </c>
      <c r="I44" s="65" t="n"/>
    </row>
    <row r="45" ht="22" customHeight="1" s="19">
      <c r="A45" s="70">
        <f>IF(OR(H12="",F15=""),"",IF(H12&lt;F15,A12,IF(F15&lt;H12,A15,"Losentscheidung")))</f>
        <v/>
      </c>
      <c r="B45" s="66" t="n"/>
      <c r="C45" s="75" t="n"/>
      <c r="D45" s="66" t="n"/>
      <c r="E45" s="75" t="n"/>
      <c r="F45" s="65" t="n"/>
      <c r="G45" s="65" t="n"/>
      <c r="H45" s="60" t="inlineStr">
        <is>
          <t>Bälle</t>
        </is>
      </c>
      <c r="I45" s="60" t="inlineStr">
        <is>
          <t>Aufn.</t>
        </is>
      </c>
    </row>
    <row r="46" ht="22" customHeight="1" s="19">
      <c r="A46" s="76" t="n"/>
      <c r="B46" s="77" t="n"/>
      <c r="C46" s="78" t="n"/>
      <c r="D46" s="77" t="n"/>
      <c r="E46" s="78" t="n"/>
      <c r="F46" s="65">
        <f>IF(OR(F45="",H42=""),"",IF(F45&gt;H42,2,IF(F45&lt;H42,0,1)))</f>
        <v/>
      </c>
      <c r="G46" s="74" t="n"/>
      <c r="H46" s="60" t="inlineStr">
        <is>
          <t>Partiepunkte</t>
        </is>
      </c>
      <c r="I46" s="74" t="n"/>
    </row>
    <row r="47" ht="22" customHeight="1" s="19">
      <c r="A47" s="79" t="n"/>
      <c r="B47" s="80" t="n"/>
      <c r="C47" s="81" t="n"/>
      <c r="D47" s="80" t="n"/>
      <c r="E47" s="81" t="n"/>
      <c r="F47" s="65">
        <f>IF(G45&gt;0,TRUNC(F45/G45,3),"")</f>
        <v/>
      </c>
      <c r="G47" s="65" t="n"/>
      <c r="H47" s="60" t="inlineStr">
        <is>
          <t>DS</t>
        </is>
      </c>
      <c r="I47" s="60" t="inlineStr">
        <is>
          <t>HS</t>
        </is>
      </c>
    </row>
  </sheetData>
  <mergeCells count="77">
    <mergeCell ref="D20:E20"/>
    <mergeCell ref="H24:I26"/>
    <mergeCell ref="H35:I35"/>
    <mergeCell ref="A21:A23"/>
    <mergeCell ref="F16:G16"/>
    <mergeCell ref="B22:C22"/>
    <mergeCell ref="D22:E22"/>
    <mergeCell ref="F6:G8"/>
    <mergeCell ref="A2:I2"/>
    <mergeCell ref="B42:C44"/>
    <mergeCell ref="A15:A17"/>
    <mergeCell ref="H9:I11"/>
    <mergeCell ref="D45:E47"/>
    <mergeCell ref="A24:A26"/>
    <mergeCell ref="H39:I41"/>
    <mergeCell ref="A19:I19"/>
    <mergeCell ref="D7:E7"/>
    <mergeCell ref="D15:E17"/>
    <mergeCell ref="F13:G13"/>
    <mergeCell ref="B40:C40"/>
    <mergeCell ref="A6:A8"/>
    <mergeCell ref="H13:I13"/>
    <mergeCell ref="F43:G43"/>
    <mergeCell ref="B15:C17"/>
    <mergeCell ref="A42:A44"/>
    <mergeCell ref="B35:C35"/>
    <mergeCell ref="D35:E35"/>
    <mergeCell ref="A12:A14"/>
    <mergeCell ref="D10:E10"/>
    <mergeCell ref="B25:C25"/>
    <mergeCell ref="F5:G5"/>
    <mergeCell ref="F20:G20"/>
    <mergeCell ref="B27:C29"/>
    <mergeCell ref="D27:E29"/>
    <mergeCell ref="F36:G38"/>
    <mergeCell ref="B37:C37"/>
    <mergeCell ref="H36:I38"/>
    <mergeCell ref="D37:E37"/>
    <mergeCell ref="F31:G31"/>
    <mergeCell ref="F46:G46"/>
    <mergeCell ref="F28:G28"/>
    <mergeCell ref="H28:I28"/>
    <mergeCell ref="A34:I34"/>
    <mergeCell ref="D12:E14"/>
    <mergeCell ref="B30:C32"/>
    <mergeCell ref="A1:I1"/>
    <mergeCell ref="H5:I5"/>
    <mergeCell ref="F9:G11"/>
    <mergeCell ref="B45:C47"/>
    <mergeCell ref="F39:G41"/>
    <mergeCell ref="B7:C7"/>
    <mergeCell ref="H43:I43"/>
    <mergeCell ref="H31:I31"/>
    <mergeCell ref="F24:G26"/>
    <mergeCell ref="A4:I4"/>
    <mergeCell ref="A36:A38"/>
    <mergeCell ref="A30:A32"/>
    <mergeCell ref="A45:A47"/>
    <mergeCell ref="H16:I16"/>
    <mergeCell ref="D25:E25"/>
    <mergeCell ref="B5:C5"/>
    <mergeCell ref="B20:C20"/>
    <mergeCell ref="D42:E44"/>
    <mergeCell ref="D5:E5"/>
    <mergeCell ref="D30:E32"/>
    <mergeCell ref="A27:A29"/>
    <mergeCell ref="H20:I20"/>
    <mergeCell ref="D40:E40"/>
    <mergeCell ref="B12:C14"/>
    <mergeCell ref="H46:I46"/>
    <mergeCell ref="A9:A11"/>
    <mergeCell ref="H6:I8"/>
    <mergeCell ref="F21:G23"/>
    <mergeCell ref="F35:G35"/>
    <mergeCell ref="H21:I23"/>
    <mergeCell ref="A39:A41"/>
    <mergeCell ref="B10:C1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style="19" min="1" max="1"/>
    <col width="24" customWidth="1" style="19" min="2" max="2"/>
    <col width="12" customWidth="1" style="19" min="3" max="3"/>
    <col width="12" customWidth="1" style="19" min="4" max="4"/>
    <col width="14" customWidth="1" style="19" min="5" max="5"/>
    <col width="14" customWidth="1" style="19" min="6" max="6"/>
    <col width="12" customWidth="1" style="19" min="7" max="7"/>
    <col width="12" customWidth="1" style="19" min="8" max="8"/>
    <col width="10" customWidth="1" style="19" min="9" max="9"/>
    <col width="10" customWidth="1" style="19" min="10" max="10"/>
    <col width="22" customWidth="1" style="19" min="11" max="11"/>
  </cols>
  <sheetData>
    <row r="1" ht="30" customHeight="1" s="19">
      <c r="A1" s="85" t="inlineStr">
        <is>
          <t>Gesamtrangliste</t>
        </is>
      </c>
    </row>
    <row r="2">
      <c r="A2" s="68" t="inlineStr">
        <is>
          <t>Platzierung aus Finalrunde; Gruppendaten werden aus dem Tableau übernommen.</t>
        </is>
      </c>
    </row>
    <row r="3">
      <c r="A3" s="86" t="inlineStr">
        <is>
          <t>Platz</t>
        </is>
      </c>
      <c r="B3" s="86" t="inlineStr">
        <is>
          <t>Spieler</t>
        </is>
      </c>
      <c r="C3" s="86" t="inlineStr">
        <is>
          <t>Pass-Nr.</t>
        </is>
      </c>
      <c r="D3" s="86" t="inlineStr">
        <is>
          <t>Gruppe</t>
        </is>
      </c>
      <c r="E3" s="86" t="inlineStr">
        <is>
          <t>Gruppenplatz</t>
        </is>
      </c>
      <c r="F3" s="86" t="inlineStr">
        <is>
          <t>Partiepunkte</t>
        </is>
      </c>
      <c r="G3" s="86" t="inlineStr">
        <is>
          <t>Bälle</t>
        </is>
      </c>
      <c r="H3" s="86" t="inlineStr">
        <is>
          <t>Aufnahmen</t>
        </is>
      </c>
      <c r="I3" s="86" t="inlineStr">
        <is>
          <t>GD</t>
        </is>
      </c>
      <c r="J3" s="86" t="inlineStr">
        <is>
          <t>HS</t>
        </is>
      </c>
      <c r="K3" s="86" t="inlineStr">
        <is>
          <t>Hinweis</t>
        </is>
      </c>
    </row>
    <row r="4">
      <c r="A4" s="87" t="n">
        <v>1</v>
      </c>
      <c r="B4" s="88">
        <f>IF(OR(Finalrunde!D36="",Finalrunde!B39=""),"",IF(Finalrunde!D36&gt;Finalrunde!B39,Finalrunde!A36,IF(Finalrunde!B39&gt;Finalrunde!D36,Finalrunde!A39,"Losentscheidung")))</f>
        <v/>
      </c>
      <c r="C4" s="89">
        <f>IF(B4="","",IFERROR(INDEX(Teilnehmer!$C$2:$C$9,MATCH(B4,Teilnehmer!$B$2:$B$9,0)),""))</f>
        <v/>
      </c>
      <c r="D4" s="90">
        <f>IF(B4="","",IF(ISNUMBER(MATCH(B4,Tableau!$A$6:$A$15,0)),"Gruppe 1",IF(ISNUMBER(MATCH(B4,Tableau!$A$22:$A$31,0)),"Gruppe 2","")))</f>
        <v/>
      </c>
      <c r="E4" s="89">
        <f>IF(B4="","",IFERROR(INDEX(Tableau!$O$6:$O$15,MATCH(B4,Tableau!$A$6:$A$15,0)),IFERROR(INDEX(Tableau!$O$22:$O$31,MATCH(B4,Tableau!$A$22:$A$31,0)),"")))</f>
        <v/>
      </c>
      <c r="F4" s="89">
        <f>IF(B4="","",IFERROR(INDEX(Tableau!$J$6:$J$15,MATCH(B4,Tableau!$A$6:$A$15,0)),IFERROR(INDEX(Tableau!$J$22:$J$31,MATCH(B4,Tableau!$A$22:$A$31,0)),"")))</f>
        <v/>
      </c>
      <c r="G4" s="89">
        <f>IF(B4="","",IFERROR(INDEX(Tableau!$K$6:$K$15,MATCH(B4,Tableau!$A$6:$A$15,0)),IFERROR(INDEX(Tableau!$K$22:$K$31,MATCH(B4,Tableau!$A$22:$A$31,0)),"")))</f>
        <v/>
      </c>
      <c r="H4" s="89">
        <f>IF(B4="","",IFERROR(INDEX(Tableau!$L$6:$L$15,MATCH(B4,Tableau!$A$6:$A$15,0)),IFERROR(INDEX(Tableau!$L$22:$L$31,MATCH(B4,Tableau!$A$22:$A$31,0)),"")))</f>
        <v/>
      </c>
      <c r="I4" s="89">
        <f>IF(B4="","",IFERROR(INDEX(Tableau!$M$6:$M$15,MATCH(B4,Tableau!$A$6:$A$15,0)),IFERROR(INDEX(Tableau!$M$22:$M$31,MATCH(B4,Tableau!$A$22:$A$31,0)),"")))</f>
        <v/>
      </c>
      <c r="J4" s="89">
        <f>IF(B4="","",IFERROR(INDEX(Tableau!$N$6:$N$15,MATCH(B4,Tableau!$A$6:$A$15,0)),IFERROR(INDEX(Tableau!$N$22:$N$31,MATCH(B4,Tableau!$A$22:$A$31,0)),"")))</f>
        <v/>
      </c>
      <c r="K4" s="90">
        <f>IF(B4="Losentscheidung","Bitte manuell klären","")</f>
        <v/>
      </c>
    </row>
    <row r="5">
      <c r="A5" s="87" t="n">
        <v>2</v>
      </c>
      <c r="B5" s="88">
        <f>IF(OR(Finalrunde!D36="",Finalrunde!B39=""),"",IF(Finalrunde!D36&lt;Finalrunde!B39,Finalrunde!A36,IF(Finalrunde!B39&lt;Finalrunde!D36,Finalrunde!A39,"Losentscheidung")))</f>
        <v/>
      </c>
      <c r="C5" s="89">
        <f>IF(B5="","",IFERROR(INDEX(Teilnehmer!$C$2:$C$9,MATCH(B5,Teilnehmer!$B$2:$B$9,0)),""))</f>
        <v/>
      </c>
      <c r="D5" s="90">
        <f>IF(B5="","",IF(ISNUMBER(MATCH(B5,Tableau!$A$6:$A$15,0)),"Gruppe 1",IF(ISNUMBER(MATCH(B5,Tableau!$A$22:$A$31,0)),"Gruppe 2","")))</f>
        <v/>
      </c>
      <c r="E5" s="89">
        <f>IF(B5="","",IFERROR(INDEX(Tableau!$O$6:$O$15,MATCH(B5,Tableau!$A$6:$A$15,0)),IFERROR(INDEX(Tableau!$O$22:$O$31,MATCH(B5,Tableau!$A$22:$A$31,0)),"")))</f>
        <v/>
      </c>
      <c r="F5" s="89">
        <f>IF(B5="","",IFERROR(INDEX(Tableau!$J$6:$J$15,MATCH(B5,Tableau!$A$6:$A$15,0)),IFERROR(INDEX(Tableau!$J$22:$J$31,MATCH(B5,Tableau!$A$22:$A$31,0)),"")))</f>
        <v/>
      </c>
      <c r="G5" s="89">
        <f>IF(B5="","",IFERROR(INDEX(Tableau!$K$6:$K$15,MATCH(B5,Tableau!$A$6:$A$15,0)),IFERROR(INDEX(Tableau!$K$22:$K$31,MATCH(B5,Tableau!$A$22:$A$31,0)),"")))</f>
        <v/>
      </c>
      <c r="H5" s="89">
        <f>IF(B5="","",IFERROR(INDEX(Tableau!$L$6:$L$15,MATCH(B5,Tableau!$A$6:$A$15,0)),IFERROR(INDEX(Tableau!$L$22:$L$31,MATCH(B5,Tableau!$A$22:$A$31,0)),"")))</f>
        <v/>
      </c>
      <c r="I5" s="89">
        <f>IF(B5="","",IFERROR(INDEX(Tableau!$M$6:$M$15,MATCH(B5,Tableau!$A$6:$A$15,0)),IFERROR(INDEX(Tableau!$M$22:$M$31,MATCH(B5,Tableau!$A$22:$A$31,0)),"")))</f>
        <v/>
      </c>
      <c r="J5" s="89">
        <f>IF(B5="","",IFERROR(INDEX(Tableau!$N$6:$N$15,MATCH(B5,Tableau!$A$6:$A$15,0)),IFERROR(INDEX(Tableau!$N$22:$N$31,MATCH(B5,Tableau!$A$22:$A$31,0)),"")))</f>
        <v/>
      </c>
      <c r="K5" s="90">
        <f>IF(B5="Losentscheidung","Bitte manuell klären","")</f>
        <v/>
      </c>
    </row>
    <row r="6">
      <c r="A6" s="87" t="n">
        <v>3</v>
      </c>
      <c r="B6" s="88">
        <f>IF(OR(Finalrunde!H42="",Finalrunde!F45=""),"",IF(Finalrunde!H42&gt;Finalrunde!F45,Finalrunde!A42,IF(Finalrunde!F45&gt;Finalrunde!H42,Finalrunde!A45,"Losentscheidung")))</f>
        <v/>
      </c>
      <c r="C6" s="89">
        <f>IF(B6="","",IFERROR(INDEX(Teilnehmer!$C$2:$C$9,MATCH(B6,Teilnehmer!$B$2:$B$9,0)),""))</f>
        <v/>
      </c>
      <c r="D6" s="90">
        <f>IF(B6="","",IF(ISNUMBER(MATCH(B6,Tableau!$A$6:$A$15,0)),"Gruppe 1",IF(ISNUMBER(MATCH(B6,Tableau!$A$22:$A$31,0)),"Gruppe 2","")))</f>
        <v/>
      </c>
      <c r="E6" s="89">
        <f>IF(B6="","",IFERROR(INDEX(Tableau!$O$6:$O$15,MATCH(B6,Tableau!$A$6:$A$15,0)),IFERROR(INDEX(Tableau!$O$22:$O$31,MATCH(B6,Tableau!$A$22:$A$31,0)),"")))</f>
        <v/>
      </c>
      <c r="F6" s="89">
        <f>IF(B6="","",IFERROR(INDEX(Tableau!$J$6:$J$15,MATCH(B6,Tableau!$A$6:$A$15,0)),IFERROR(INDEX(Tableau!$J$22:$J$31,MATCH(B6,Tableau!$A$22:$A$31,0)),"")))</f>
        <v/>
      </c>
      <c r="G6" s="89">
        <f>IF(B6="","",IFERROR(INDEX(Tableau!$K$6:$K$15,MATCH(B6,Tableau!$A$6:$A$15,0)),IFERROR(INDEX(Tableau!$K$22:$K$31,MATCH(B6,Tableau!$A$22:$A$31,0)),"")))</f>
        <v/>
      </c>
      <c r="H6" s="89">
        <f>IF(B6="","",IFERROR(INDEX(Tableau!$L$6:$L$15,MATCH(B6,Tableau!$A$6:$A$15,0)),IFERROR(INDEX(Tableau!$L$22:$L$31,MATCH(B6,Tableau!$A$22:$A$31,0)),"")))</f>
        <v/>
      </c>
      <c r="I6" s="89">
        <f>IF(B6="","",IFERROR(INDEX(Tableau!$M$6:$M$15,MATCH(B6,Tableau!$A$6:$A$15,0)),IFERROR(INDEX(Tableau!$M$22:$M$31,MATCH(B6,Tableau!$A$22:$A$31,0)),"")))</f>
        <v/>
      </c>
      <c r="J6" s="89">
        <f>IF(B6="","",IFERROR(INDEX(Tableau!$N$6:$N$15,MATCH(B6,Tableau!$A$6:$A$15,0)),IFERROR(INDEX(Tableau!$N$22:$N$31,MATCH(B6,Tableau!$A$22:$A$31,0)),"")))</f>
        <v/>
      </c>
      <c r="K6" s="90">
        <f>IF(B6="Losentscheidung","Bitte manuell klären","")</f>
        <v/>
      </c>
    </row>
    <row r="7">
      <c r="A7" s="87" t="n">
        <v>4</v>
      </c>
      <c r="B7" s="88">
        <f>IF(OR(Finalrunde!H42="",Finalrunde!F45=""),"",IF(Finalrunde!H42&lt;Finalrunde!F45,Finalrunde!A42,IF(Finalrunde!F45&lt;Finalrunde!H42,Finalrunde!A45,"Losentscheidung")))</f>
        <v/>
      </c>
      <c r="C7" s="89">
        <f>IF(B7="","",IFERROR(INDEX(Teilnehmer!$C$2:$C$9,MATCH(B7,Teilnehmer!$B$2:$B$9,0)),""))</f>
        <v/>
      </c>
      <c r="D7" s="90">
        <f>IF(B7="","",IF(ISNUMBER(MATCH(B7,Tableau!$A$6:$A$15,0)),"Gruppe 1",IF(ISNUMBER(MATCH(B7,Tableau!$A$22:$A$31,0)),"Gruppe 2","")))</f>
        <v/>
      </c>
      <c r="E7" s="89">
        <f>IF(B7="","",IFERROR(INDEX(Tableau!$O$6:$O$15,MATCH(B7,Tableau!$A$6:$A$15,0)),IFERROR(INDEX(Tableau!$O$22:$O$31,MATCH(B7,Tableau!$A$22:$A$31,0)),"")))</f>
        <v/>
      </c>
      <c r="F7" s="89">
        <f>IF(B7="","",IFERROR(INDEX(Tableau!$J$6:$J$15,MATCH(B7,Tableau!$A$6:$A$15,0)),IFERROR(INDEX(Tableau!$J$22:$J$31,MATCH(B7,Tableau!$A$22:$A$31,0)),"")))</f>
        <v/>
      </c>
      <c r="G7" s="89">
        <f>IF(B7="","",IFERROR(INDEX(Tableau!$K$6:$K$15,MATCH(B7,Tableau!$A$6:$A$15,0)),IFERROR(INDEX(Tableau!$K$22:$K$31,MATCH(B7,Tableau!$A$22:$A$31,0)),"")))</f>
        <v/>
      </c>
      <c r="H7" s="89">
        <f>IF(B7="","",IFERROR(INDEX(Tableau!$L$6:$L$15,MATCH(B7,Tableau!$A$6:$A$15,0)),IFERROR(INDEX(Tableau!$L$22:$L$31,MATCH(B7,Tableau!$A$22:$A$31,0)),"")))</f>
        <v/>
      </c>
      <c r="I7" s="89">
        <f>IF(B7="","",IFERROR(INDEX(Tableau!$M$6:$M$15,MATCH(B7,Tableau!$A$6:$A$15,0)),IFERROR(INDEX(Tableau!$M$22:$M$31,MATCH(B7,Tableau!$A$22:$A$31,0)),"")))</f>
        <v/>
      </c>
      <c r="J7" s="89">
        <f>IF(B7="","",IFERROR(INDEX(Tableau!$N$6:$N$15,MATCH(B7,Tableau!$A$6:$A$15,0)),IFERROR(INDEX(Tableau!$N$22:$N$31,MATCH(B7,Tableau!$A$22:$A$31,0)),"")))</f>
        <v/>
      </c>
      <c r="K7" s="90">
        <f>IF(B7="Losentscheidung","Bitte manuell klären","")</f>
        <v/>
      </c>
    </row>
    <row r="8">
      <c r="A8" s="87" t="n">
        <v>5</v>
      </c>
      <c r="B8" s="88">
        <f>IF(OR(Finalrunde!D21="",Finalrunde!B24=""),"",IF(Finalrunde!D21&gt;Finalrunde!B24,Finalrunde!A21,IF(Finalrunde!B24&gt;Finalrunde!D21,Finalrunde!A24,"Losentscheidung")))</f>
        <v/>
      </c>
      <c r="C8" s="89">
        <f>IF(B8="","",IFERROR(INDEX(Teilnehmer!$C$2:$C$9,MATCH(B8,Teilnehmer!$B$2:$B$9,0)),""))</f>
        <v/>
      </c>
      <c r="D8" s="90">
        <f>IF(B8="","",IF(ISNUMBER(MATCH(B8,Tableau!$A$6:$A$15,0)),"Gruppe 1",IF(ISNUMBER(MATCH(B8,Tableau!$A$22:$A$31,0)),"Gruppe 2","")))</f>
        <v/>
      </c>
      <c r="E8" s="89">
        <f>IF(B8="","",IFERROR(INDEX(Tableau!$O$6:$O$15,MATCH(B8,Tableau!$A$6:$A$15,0)),IFERROR(INDEX(Tableau!$O$22:$O$31,MATCH(B8,Tableau!$A$22:$A$31,0)),"")))</f>
        <v/>
      </c>
      <c r="F8" s="89">
        <f>IF(B8="","",IFERROR(INDEX(Tableau!$J$6:$J$15,MATCH(B8,Tableau!$A$6:$A$15,0)),IFERROR(INDEX(Tableau!$J$22:$J$31,MATCH(B8,Tableau!$A$22:$A$31,0)),"")))</f>
        <v/>
      </c>
      <c r="G8" s="89">
        <f>IF(B8="","",IFERROR(INDEX(Tableau!$K$6:$K$15,MATCH(B8,Tableau!$A$6:$A$15,0)),IFERROR(INDEX(Tableau!$K$22:$K$31,MATCH(B8,Tableau!$A$22:$A$31,0)),"")))</f>
        <v/>
      </c>
      <c r="H8" s="89">
        <f>IF(B8="","",IFERROR(INDEX(Tableau!$L$6:$L$15,MATCH(B8,Tableau!$A$6:$A$15,0)),IFERROR(INDEX(Tableau!$L$22:$L$31,MATCH(B8,Tableau!$A$22:$A$31,0)),"")))</f>
        <v/>
      </c>
      <c r="I8" s="89">
        <f>IF(B8="","",IFERROR(INDEX(Tableau!$M$6:$M$15,MATCH(B8,Tableau!$A$6:$A$15,0)),IFERROR(INDEX(Tableau!$M$22:$M$31,MATCH(B8,Tableau!$A$22:$A$31,0)),"")))</f>
        <v/>
      </c>
      <c r="J8" s="89">
        <f>IF(B8="","",IFERROR(INDEX(Tableau!$N$6:$N$15,MATCH(B8,Tableau!$A$6:$A$15,0)),IFERROR(INDEX(Tableau!$N$22:$N$31,MATCH(B8,Tableau!$A$22:$A$31,0)),"")))</f>
        <v/>
      </c>
      <c r="K8" s="90">
        <f>IF(B8="Losentscheidung","Bitte manuell klären","")</f>
        <v/>
      </c>
    </row>
    <row r="9">
      <c r="A9" s="87" t="n">
        <v>6</v>
      </c>
      <c r="B9" s="88">
        <f>IF(OR(Finalrunde!D21="",Finalrunde!B24=""),"",IF(Finalrunde!D21&lt;Finalrunde!B24,Finalrunde!A21,IF(Finalrunde!B24&lt;Finalrunde!D21,Finalrunde!A24,"Losentscheidung")))</f>
        <v/>
      </c>
      <c r="C9" s="89">
        <f>IF(B9="","",IFERROR(INDEX(Teilnehmer!$C$2:$C$9,MATCH(B9,Teilnehmer!$B$2:$B$9,0)),""))</f>
        <v/>
      </c>
      <c r="D9" s="90">
        <f>IF(B9="","",IF(ISNUMBER(MATCH(B9,Tableau!$A$6:$A$15,0)),"Gruppe 1",IF(ISNUMBER(MATCH(B9,Tableau!$A$22:$A$31,0)),"Gruppe 2","")))</f>
        <v/>
      </c>
      <c r="E9" s="89">
        <f>IF(B9="","",IFERROR(INDEX(Tableau!$O$6:$O$15,MATCH(B9,Tableau!$A$6:$A$15,0)),IFERROR(INDEX(Tableau!$O$22:$O$31,MATCH(B9,Tableau!$A$22:$A$31,0)),"")))</f>
        <v/>
      </c>
      <c r="F9" s="89">
        <f>IF(B9="","",IFERROR(INDEX(Tableau!$J$6:$J$15,MATCH(B9,Tableau!$A$6:$A$15,0)),IFERROR(INDEX(Tableau!$J$22:$J$31,MATCH(B9,Tableau!$A$22:$A$31,0)),"")))</f>
        <v/>
      </c>
      <c r="G9" s="89">
        <f>IF(B9="","",IFERROR(INDEX(Tableau!$K$6:$K$15,MATCH(B9,Tableau!$A$6:$A$15,0)),IFERROR(INDEX(Tableau!$K$22:$K$31,MATCH(B9,Tableau!$A$22:$A$31,0)),"")))</f>
        <v/>
      </c>
      <c r="H9" s="89">
        <f>IF(B9="","",IFERROR(INDEX(Tableau!$L$6:$L$15,MATCH(B9,Tableau!$A$6:$A$15,0)),IFERROR(INDEX(Tableau!$L$22:$L$31,MATCH(B9,Tableau!$A$22:$A$31,0)),"")))</f>
        <v/>
      </c>
      <c r="I9" s="89">
        <f>IF(B9="","",IFERROR(INDEX(Tableau!$M$6:$M$15,MATCH(B9,Tableau!$A$6:$A$15,0)),IFERROR(INDEX(Tableau!$M$22:$M$31,MATCH(B9,Tableau!$A$22:$A$31,0)),"")))</f>
        <v/>
      </c>
      <c r="J9" s="89">
        <f>IF(B9="","",IFERROR(INDEX(Tableau!$N$6:$N$15,MATCH(B9,Tableau!$A$6:$A$15,0)),IFERROR(INDEX(Tableau!$N$22:$N$31,MATCH(B9,Tableau!$A$22:$A$31,0)),"")))</f>
        <v/>
      </c>
      <c r="K9" s="90">
        <f>IF(B9="Losentscheidung","Bitte manuell klären","")</f>
        <v/>
      </c>
    </row>
    <row r="10">
      <c r="A10" s="87" t="n">
        <v>7</v>
      </c>
      <c r="B10" s="88">
        <f>IF(OR(Finalrunde!H27="",Finalrunde!F30=""),"",IF(Finalrunde!H27&gt;Finalrunde!F30,Finalrunde!A27,IF(Finalrunde!F30&gt;Finalrunde!H27,Finalrunde!A30,"Losentscheidung")))</f>
        <v/>
      </c>
      <c r="C10" s="89">
        <f>IF(B10="","",IFERROR(INDEX(Teilnehmer!$C$2:$C$9,MATCH(B10,Teilnehmer!$B$2:$B$9,0)),""))</f>
        <v/>
      </c>
      <c r="D10" s="90">
        <f>IF(B10="","",IF(ISNUMBER(MATCH(B10,Tableau!$A$6:$A$15,0)),"Gruppe 1",IF(ISNUMBER(MATCH(B10,Tableau!$A$22:$A$31,0)),"Gruppe 2","")))</f>
        <v/>
      </c>
      <c r="E10" s="89">
        <f>IF(B10="","",IFERROR(INDEX(Tableau!$O$6:$O$15,MATCH(B10,Tableau!$A$6:$A$15,0)),IFERROR(INDEX(Tableau!$O$22:$O$31,MATCH(B10,Tableau!$A$22:$A$31,0)),"")))</f>
        <v/>
      </c>
      <c r="F10" s="89">
        <f>IF(B10="","",IFERROR(INDEX(Tableau!$J$6:$J$15,MATCH(B10,Tableau!$A$6:$A$15,0)),IFERROR(INDEX(Tableau!$J$22:$J$31,MATCH(B10,Tableau!$A$22:$A$31,0)),"")))</f>
        <v/>
      </c>
      <c r="G10" s="89">
        <f>IF(B10="","",IFERROR(INDEX(Tableau!$K$6:$K$15,MATCH(B10,Tableau!$A$6:$A$15,0)),IFERROR(INDEX(Tableau!$K$22:$K$31,MATCH(B10,Tableau!$A$22:$A$31,0)),"")))</f>
        <v/>
      </c>
      <c r="H10" s="89">
        <f>IF(B10="","",IFERROR(INDEX(Tableau!$L$6:$L$15,MATCH(B10,Tableau!$A$6:$A$15,0)),IFERROR(INDEX(Tableau!$L$22:$L$31,MATCH(B10,Tableau!$A$22:$A$31,0)),"")))</f>
        <v/>
      </c>
      <c r="I10" s="89">
        <f>IF(B10="","",IFERROR(INDEX(Tableau!$M$6:$M$15,MATCH(B10,Tableau!$A$6:$A$15,0)),IFERROR(INDEX(Tableau!$M$22:$M$31,MATCH(B10,Tableau!$A$22:$A$31,0)),"")))</f>
        <v/>
      </c>
      <c r="J10" s="89">
        <f>IF(B10="","",IFERROR(INDEX(Tableau!$N$6:$N$15,MATCH(B10,Tableau!$A$6:$A$15,0)),IFERROR(INDEX(Tableau!$N$22:$N$31,MATCH(B10,Tableau!$A$22:$A$31,0)),"")))</f>
        <v/>
      </c>
      <c r="K10" s="90">
        <f>IF(B10="Losentscheidung","Bitte manuell klären","")</f>
        <v/>
      </c>
    </row>
    <row r="11">
      <c r="A11" s="87" t="n">
        <v>8</v>
      </c>
      <c r="B11" s="88">
        <f>IF(OR(Finalrunde!H27="",Finalrunde!F30=""),"",IF(Finalrunde!H27&lt;Finalrunde!F30,Finalrunde!A27,IF(Finalrunde!F30&lt;Finalrunde!H27,Finalrunde!A30,"Losentscheidung")))</f>
        <v/>
      </c>
      <c r="C11" s="89">
        <f>IF(B11="","",IFERROR(INDEX(Teilnehmer!$C$2:$C$9,MATCH(B11,Teilnehmer!$B$2:$B$9,0)),""))</f>
        <v/>
      </c>
      <c r="D11" s="90">
        <f>IF(B11="","",IF(ISNUMBER(MATCH(B11,Tableau!$A$6:$A$15,0)),"Gruppe 1",IF(ISNUMBER(MATCH(B11,Tableau!$A$22:$A$31,0)),"Gruppe 2","")))</f>
        <v/>
      </c>
      <c r="E11" s="89">
        <f>IF(B11="","",IFERROR(INDEX(Tableau!$O$6:$O$15,MATCH(B11,Tableau!$A$6:$A$15,0)),IFERROR(INDEX(Tableau!$O$22:$O$31,MATCH(B11,Tableau!$A$22:$A$31,0)),"")))</f>
        <v/>
      </c>
      <c r="F11" s="89">
        <f>IF(B11="","",IFERROR(INDEX(Tableau!$J$6:$J$15,MATCH(B11,Tableau!$A$6:$A$15,0)),IFERROR(INDEX(Tableau!$J$22:$J$31,MATCH(B11,Tableau!$A$22:$A$31,0)),"")))</f>
        <v/>
      </c>
      <c r="G11" s="89">
        <f>IF(B11="","",IFERROR(INDEX(Tableau!$K$6:$K$15,MATCH(B11,Tableau!$A$6:$A$15,0)),IFERROR(INDEX(Tableau!$K$22:$K$31,MATCH(B11,Tableau!$A$22:$A$31,0)),"")))</f>
        <v/>
      </c>
      <c r="H11" s="89">
        <f>IF(B11="","",IFERROR(INDEX(Tableau!$L$6:$L$15,MATCH(B11,Tableau!$A$6:$A$15,0)),IFERROR(INDEX(Tableau!$L$22:$L$31,MATCH(B11,Tableau!$A$22:$A$31,0)),"")))</f>
        <v/>
      </c>
      <c r="I11" s="89">
        <f>IF(B11="","",IFERROR(INDEX(Tableau!$M$6:$M$15,MATCH(B11,Tableau!$A$6:$A$15,0)),IFERROR(INDEX(Tableau!$M$22:$M$31,MATCH(B11,Tableau!$A$22:$A$31,0)),"")))</f>
        <v/>
      </c>
      <c r="J11" s="89">
        <f>IF(B11="","",IFERROR(INDEX(Tableau!$N$6:$N$15,MATCH(B11,Tableau!$A$6:$A$15,0)),IFERROR(INDEX(Tableau!$N$22:$N$31,MATCH(B11,Tableau!$A$22:$A$31,0)),"")))</f>
        <v/>
      </c>
      <c r="K11" s="90">
        <f>IF(B11="Losentscheidung","Bitte manuell klären","")</f>
        <v/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MartinWitt</dc:creator>
  <dc:title xmlns:dc="http://purl.org/dc/elements/1.1/">6er Endrunde</dc:title>
  <dc:subject xmlns:dc="http://purl.org/dc/elements/1.1/">Tableau &amp; Ansetzung</dc:subject>
  <dcterms:created xmlns:dcterms="http://purl.org/dc/terms/" xmlns:xsi="http://www.w3.org/2001/XMLSchema-instance" xsi:type="dcterms:W3CDTF">1999-09-29T12:14:55Z</dcterms:created>
  <dcterms:modified xmlns:dcterms="http://purl.org/dc/terms/" xmlns:xsi="http://www.w3.org/2001/XMLSchema-instance" xsi:type="dcterms:W3CDTF">2026-08-17T08:33:50Z</dcterms:modified>
  <cp:lastModifiedBy>Jüde, Philipp</cp:lastModifiedBy>
  <cp:revision>0</cp:revision>
  <cp:lastPrinted>2008-02-17T10:52:47Z</cp:lastPrinted>
</cp:coreProperties>
</file>

<file path=docProps/custom.xml><?xml version="1.0" encoding="utf-8"?>
<Properties xmlns="http://schemas.openxmlformats.org/officeDocument/2006/custom-properties">
  <property name="_AdHocReviewCycleID" fmtid="{D5CDD505-2E9C-101B-9397-08002B2CF9AE}" pid="2">
    <vt:i4 xmlns:vt="http://schemas.openxmlformats.org/officeDocument/2006/docPropsVTypes">-973240657</vt:i4>
  </property>
  <property name="_AuthorEmail" fmtid="{D5CDD505-2E9C-101B-9397-08002B2CF9AE}" pid="3">
    <vt:lpwstr xmlns:vt="http://schemas.openxmlformats.org/officeDocument/2006/docPropsVTypes">nbv-sportwart@billard-hamburg.de</vt:lpwstr>
  </property>
  <property name="_AuthorEmailDisplayName" fmtid="{D5CDD505-2E9C-101B-9397-08002B2CF9AE}" pid="4">
    <vt:lpwstr xmlns:vt="http://schemas.openxmlformats.org/officeDocument/2006/docPropsVTypes">NBV Sportwart</vt:lpwstr>
  </property>
  <property name="_EmailSubject" fmtid="{D5CDD505-2E9C-101B-9397-08002B2CF9AE}" pid="5">
    <vt:lpwstr xmlns:vt="http://schemas.openxmlformats.org/officeDocument/2006/docPropsVTypes">Turnierprotokolle für Meisterschaften</vt:lpwstr>
  </property>
  <property name="_ReviewingToolsShownOnce" fmtid="{D5CDD505-2E9C-101B-9397-08002B2CF9AE}" pid="6">
    <vt:lpwstr xmlns:vt="http://schemas.openxmlformats.org/officeDocument/2006/docPropsVTypes"/>
  </property>
</Properties>
</file>